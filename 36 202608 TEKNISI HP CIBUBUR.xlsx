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2b7387a5058d273/FINANCE, ACCOUNTING &amp; AUDIT MGI/2026/Gaji &amp; Bagi Hasil/08. Agustus/Data Gaji Agustus 2026 - MFlash/"/>
    </mc:Choice>
  </mc:AlternateContent>
  <xr:revisionPtr revIDLastSave="14" documentId="13_ncr:1_{262254F2-D9DE-490D-8AA0-92FDBDE741ED}" xr6:coauthVersionLast="47" xr6:coauthVersionMax="47" xr10:uidLastSave="{ED107AEF-60FB-4322-A223-27CE0CBB3408}"/>
  <bookViews>
    <workbookView xWindow="-108" yWindow="-108" windowWidth="23256" windowHeight="12576" activeTab="4" xr2:uid="{00000000-000D-0000-FFFF-FFFF00000000}"/>
  </bookViews>
  <sheets>
    <sheet name="Potongan Teknisi MF" sheetId="8" r:id="rId1"/>
    <sheet name="Rincian Faktur Penjualan" sheetId="1" r:id="rId2"/>
    <sheet name="Pivot" sheetId="2" r:id="rId3"/>
    <sheet name="RAW" sheetId="3" r:id="rId4"/>
    <sheet name="final" sheetId="4" r:id="rId5"/>
  </sheets>
  <definedNames>
    <definedName name="_xlnm._FilterDatabase" localSheetId="3" hidden="1">RAW!$A$4:$AG$9</definedName>
    <definedName name="JR_PAGE_ANCHOR_0_1">'Rincian Faktur Penjualan'!$A$1</definedName>
  </definedNames>
  <calcPr calcId="191029"/>
  <pivotCaches>
    <pivotCache cacheId="126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3" i="4" l="1"/>
  <c r="P13" i="4"/>
  <c r="Q13" i="4"/>
  <c r="R13" i="4"/>
  <c r="S13" i="4"/>
  <c r="T13" i="4"/>
  <c r="U13" i="4"/>
  <c r="V13" i="4"/>
  <c r="W13" i="4"/>
  <c r="X13" i="4"/>
  <c r="Y13" i="4"/>
  <c r="M13" i="4"/>
  <c r="N13" i="4"/>
  <c r="O13" i="4"/>
  <c r="AD6" i="3"/>
  <c r="AD7" i="3"/>
  <c r="AD8" i="3"/>
  <c r="AD9" i="3"/>
  <c r="AD5" i="3"/>
  <c r="D23" i="8"/>
  <c r="C14" i="8"/>
  <c r="C15" i="8" s="1"/>
  <c r="C17" i="8" s="1"/>
  <c r="E19" i="8" s="1"/>
  <c r="F19" i="8" s="1"/>
  <c r="C13" i="8"/>
  <c r="D11" i="8"/>
  <c r="D8" i="8"/>
  <c r="G21" i="8" l="1"/>
  <c r="G20" i="8"/>
  <c r="G22" i="8"/>
  <c r="G19" i="8"/>
  <c r="G23" i="8" s="1"/>
  <c r="H23" i="8" s="1"/>
  <c r="P16" i="4" l="1"/>
  <c r="X12" i="4"/>
  <c r="W12" i="4"/>
  <c r="V12" i="4"/>
  <c r="U12" i="4"/>
  <c r="T12" i="4"/>
  <c r="S12" i="4"/>
  <c r="R12" i="4"/>
  <c r="Q12" i="4"/>
  <c r="P12" i="4"/>
  <c r="N12" i="4"/>
  <c r="F12" i="4"/>
  <c r="D12" i="4"/>
  <c r="X11" i="4"/>
  <c r="W11" i="4"/>
  <c r="V11" i="4"/>
  <c r="U11" i="4"/>
  <c r="T11" i="4"/>
  <c r="S11" i="4"/>
  <c r="R11" i="4"/>
  <c r="Q11" i="4"/>
  <c r="P11" i="4"/>
  <c r="N11" i="4"/>
  <c r="J11" i="4"/>
  <c r="F11" i="4"/>
  <c r="D11" i="4"/>
  <c r="X10" i="4"/>
  <c r="W10" i="4"/>
  <c r="V10" i="4"/>
  <c r="U10" i="4"/>
  <c r="T10" i="4"/>
  <c r="S10" i="4"/>
  <c r="R10" i="4"/>
  <c r="Q10" i="4"/>
  <c r="P10" i="4"/>
  <c r="N10" i="4"/>
  <c r="F10" i="4"/>
  <c r="D10" i="4"/>
  <c r="X9" i="4"/>
  <c r="W9" i="4"/>
  <c r="V9" i="4"/>
  <c r="U9" i="4"/>
  <c r="T9" i="4"/>
  <c r="S9" i="4"/>
  <c r="R9" i="4"/>
  <c r="Q9" i="4"/>
  <c r="P9" i="4"/>
  <c r="N9" i="4"/>
  <c r="F9" i="4"/>
  <c r="D9" i="4"/>
  <c r="X8" i="4"/>
  <c r="W8" i="4"/>
  <c r="V8" i="4"/>
  <c r="U8" i="4"/>
  <c r="T8" i="4"/>
  <c r="S8" i="4"/>
  <c r="R8" i="4"/>
  <c r="Q8" i="4"/>
  <c r="P8" i="4"/>
  <c r="N8" i="4"/>
  <c r="J8" i="4"/>
  <c r="F8" i="4"/>
  <c r="D8" i="4"/>
  <c r="AF10" i="3"/>
  <c r="AE10" i="3"/>
  <c r="AC10" i="3"/>
  <c r="AA10" i="3"/>
  <c r="Z10" i="3"/>
  <c r="Y10" i="3"/>
  <c r="X10" i="3"/>
  <c r="W10" i="3"/>
  <c r="V10" i="3"/>
  <c r="U10" i="3"/>
  <c r="T10" i="3"/>
  <c r="S10" i="3"/>
  <c r="H10" i="3"/>
  <c r="G10" i="3"/>
  <c r="F10" i="3"/>
  <c r="E10" i="3"/>
  <c r="D10" i="3"/>
  <c r="C10" i="3"/>
  <c r="AG9" i="3"/>
  <c r="AB9" i="3"/>
  <c r="Y12" i="4" s="1"/>
  <c r="N9" i="3"/>
  <c r="M9" i="3"/>
  <c r="L9" i="3"/>
  <c r="K9" i="3"/>
  <c r="J9" i="3"/>
  <c r="I9" i="3"/>
  <c r="L12" i="4" s="1"/>
  <c r="AG8" i="3"/>
  <c r="AB8" i="3"/>
  <c r="Y11" i="4" s="1"/>
  <c r="N8" i="3"/>
  <c r="M8" i="3"/>
  <c r="L8" i="3"/>
  <c r="K8" i="3"/>
  <c r="J8" i="3"/>
  <c r="I8" i="3"/>
  <c r="P8" i="3" s="1"/>
  <c r="AG7" i="3"/>
  <c r="AB7" i="3"/>
  <c r="Y10" i="4" s="1"/>
  <c r="N7" i="3"/>
  <c r="M7" i="3"/>
  <c r="L7" i="3"/>
  <c r="K7" i="3"/>
  <c r="J7" i="3"/>
  <c r="I7" i="3"/>
  <c r="P7" i="3" s="1"/>
  <c r="AG6" i="3"/>
  <c r="AB6" i="3"/>
  <c r="Y9" i="4" s="1"/>
  <c r="N6" i="3"/>
  <c r="M6" i="3"/>
  <c r="L6" i="3"/>
  <c r="K6" i="3"/>
  <c r="J6" i="3"/>
  <c r="I6" i="3"/>
  <c r="L9" i="4" s="1"/>
  <c r="AG5" i="3"/>
  <c r="AG10" i="3" s="1"/>
  <c r="AB5" i="3"/>
  <c r="AB10" i="3" s="1"/>
  <c r="N5" i="3"/>
  <c r="M5" i="3"/>
  <c r="M10" i="3" s="1"/>
  <c r="L5" i="3"/>
  <c r="L10" i="3" s="1"/>
  <c r="K5" i="3"/>
  <c r="K10" i="3" s="1"/>
  <c r="J5" i="3"/>
  <c r="I5" i="3"/>
  <c r="L8" i="4" s="1"/>
  <c r="AU587" i="1"/>
  <c r="AU586" i="1"/>
  <c r="AU585" i="1"/>
  <c r="AU584" i="1"/>
  <c r="AU583" i="1"/>
  <c r="AU582" i="1"/>
  <c r="AU581" i="1"/>
  <c r="AU580" i="1"/>
  <c r="AU579" i="1"/>
  <c r="AU578" i="1"/>
  <c r="AU577" i="1"/>
  <c r="AU576" i="1"/>
  <c r="AU575" i="1"/>
  <c r="AU574" i="1"/>
  <c r="AU573" i="1"/>
  <c r="AU572" i="1"/>
  <c r="AU571" i="1"/>
  <c r="AU570" i="1"/>
  <c r="AU569" i="1"/>
  <c r="AU568" i="1"/>
  <c r="AU567" i="1"/>
  <c r="AU566" i="1"/>
  <c r="AU565" i="1"/>
  <c r="AU564" i="1"/>
  <c r="AU563" i="1"/>
  <c r="AU562" i="1"/>
  <c r="AU561" i="1"/>
  <c r="AU560" i="1"/>
  <c r="AU559" i="1"/>
  <c r="AU558" i="1"/>
  <c r="AU557" i="1"/>
  <c r="AU556" i="1"/>
  <c r="AU555" i="1"/>
  <c r="AU554" i="1"/>
  <c r="AU553" i="1"/>
  <c r="AU552" i="1"/>
  <c r="AU551" i="1"/>
  <c r="AU550" i="1"/>
  <c r="AU549" i="1"/>
  <c r="AU548" i="1"/>
  <c r="AU547" i="1"/>
  <c r="AU546" i="1"/>
  <c r="AU545" i="1"/>
  <c r="AU544" i="1"/>
  <c r="AU543" i="1"/>
  <c r="AU542" i="1"/>
  <c r="AU541" i="1"/>
  <c r="AU540" i="1"/>
  <c r="AU539" i="1"/>
  <c r="AU538" i="1"/>
  <c r="AU537" i="1"/>
  <c r="AU536" i="1"/>
  <c r="AU535" i="1"/>
  <c r="AU534" i="1"/>
  <c r="AU533" i="1"/>
  <c r="AU532" i="1"/>
  <c r="AU531" i="1"/>
  <c r="AU530" i="1"/>
  <c r="AU529" i="1"/>
  <c r="AU528" i="1"/>
  <c r="AU527" i="1"/>
  <c r="AU526" i="1"/>
  <c r="AU525" i="1"/>
  <c r="AU524" i="1"/>
  <c r="AU523" i="1"/>
  <c r="AU522" i="1"/>
  <c r="AU521" i="1"/>
  <c r="AU520" i="1"/>
  <c r="AU519" i="1"/>
  <c r="AU518" i="1"/>
  <c r="AU517" i="1"/>
  <c r="AU516" i="1"/>
  <c r="AU515" i="1"/>
  <c r="AU514" i="1"/>
  <c r="AU513" i="1"/>
  <c r="AU512" i="1"/>
  <c r="AU511" i="1"/>
  <c r="AU510" i="1"/>
  <c r="AU509" i="1"/>
  <c r="AU508" i="1"/>
  <c r="AU507" i="1"/>
  <c r="AU506" i="1"/>
  <c r="AU505" i="1"/>
  <c r="AU504" i="1"/>
  <c r="AU503" i="1"/>
  <c r="AU502" i="1"/>
  <c r="AU501" i="1"/>
  <c r="AU500" i="1"/>
  <c r="AU499" i="1"/>
  <c r="AU498" i="1"/>
  <c r="AU497" i="1"/>
  <c r="AU496" i="1"/>
  <c r="AU495" i="1"/>
  <c r="AU494" i="1"/>
  <c r="AU493" i="1"/>
  <c r="AU492" i="1"/>
  <c r="AU491" i="1"/>
  <c r="AU490" i="1"/>
  <c r="AU489" i="1"/>
  <c r="AU488" i="1"/>
  <c r="AU487" i="1"/>
  <c r="AU486" i="1"/>
  <c r="AU485" i="1"/>
  <c r="AU484" i="1"/>
  <c r="AU483" i="1"/>
  <c r="AU482" i="1"/>
  <c r="AU481" i="1"/>
  <c r="AU480" i="1"/>
  <c r="AU479" i="1"/>
  <c r="AU478" i="1"/>
  <c r="AU477" i="1"/>
  <c r="AU476" i="1"/>
  <c r="AU475" i="1"/>
  <c r="AU474" i="1"/>
  <c r="AU473" i="1"/>
  <c r="AU472" i="1"/>
  <c r="AU471" i="1"/>
  <c r="AU470" i="1"/>
  <c r="AU469" i="1"/>
  <c r="AU468" i="1"/>
  <c r="AU467" i="1"/>
  <c r="AU466" i="1"/>
  <c r="AU465" i="1"/>
  <c r="AU464" i="1"/>
  <c r="AU463" i="1"/>
  <c r="AU462" i="1"/>
  <c r="AU461" i="1"/>
  <c r="AU460" i="1"/>
  <c r="AU459" i="1"/>
  <c r="AU458" i="1"/>
  <c r="AU457" i="1"/>
  <c r="AU456" i="1"/>
  <c r="AU455" i="1"/>
  <c r="AU454" i="1"/>
  <c r="AU453" i="1"/>
  <c r="AU452" i="1"/>
  <c r="AU451" i="1"/>
  <c r="AU450" i="1"/>
  <c r="AU449" i="1"/>
  <c r="AU448" i="1"/>
  <c r="AU447" i="1"/>
  <c r="AU446" i="1"/>
  <c r="AU445" i="1"/>
  <c r="AU444" i="1"/>
  <c r="AU443" i="1"/>
  <c r="AU442" i="1"/>
  <c r="AU441" i="1"/>
  <c r="AU440" i="1"/>
  <c r="AU439" i="1"/>
  <c r="AU438" i="1"/>
  <c r="AU437" i="1"/>
  <c r="AU436" i="1"/>
  <c r="AU435" i="1"/>
  <c r="AU434" i="1"/>
  <c r="AU433" i="1"/>
  <c r="AU432" i="1"/>
  <c r="AU431" i="1"/>
  <c r="AU430" i="1"/>
  <c r="AU429" i="1"/>
  <c r="AU428" i="1"/>
  <c r="AU427" i="1"/>
  <c r="AU426" i="1"/>
  <c r="AU425" i="1"/>
  <c r="AU424" i="1"/>
  <c r="AU423" i="1"/>
  <c r="AU422" i="1"/>
  <c r="AU421" i="1"/>
  <c r="AU420" i="1"/>
  <c r="AU419" i="1"/>
  <c r="AU418" i="1"/>
  <c r="AU417" i="1"/>
  <c r="AU416" i="1"/>
  <c r="AU415" i="1"/>
  <c r="AU414" i="1"/>
  <c r="AU413" i="1"/>
  <c r="AU412" i="1"/>
  <c r="AU411" i="1"/>
  <c r="AU410" i="1"/>
  <c r="AU409" i="1"/>
  <c r="AU408" i="1"/>
  <c r="AU407" i="1"/>
  <c r="AU406" i="1"/>
  <c r="AU405" i="1"/>
  <c r="AU404" i="1"/>
  <c r="AU403" i="1"/>
  <c r="AU402" i="1"/>
  <c r="AU401" i="1"/>
  <c r="AU400" i="1"/>
  <c r="AU399" i="1"/>
  <c r="AU398" i="1"/>
  <c r="AU397" i="1"/>
  <c r="AU396" i="1"/>
  <c r="AU395" i="1"/>
  <c r="AU394" i="1"/>
  <c r="AU393" i="1"/>
  <c r="AU392" i="1"/>
  <c r="AU391" i="1"/>
  <c r="AU390" i="1"/>
  <c r="AU389" i="1"/>
  <c r="AU388" i="1"/>
  <c r="AU387" i="1"/>
  <c r="AU386" i="1"/>
  <c r="AU385" i="1"/>
  <c r="AU384" i="1"/>
  <c r="AU383" i="1"/>
  <c r="AU382" i="1"/>
  <c r="AU381" i="1"/>
  <c r="AU380" i="1"/>
  <c r="AU379" i="1"/>
  <c r="AU378" i="1"/>
  <c r="AU377" i="1"/>
  <c r="AU376" i="1"/>
  <c r="AU375" i="1"/>
  <c r="AU374" i="1"/>
  <c r="AU373" i="1"/>
  <c r="AU372" i="1"/>
  <c r="AU371" i="1"/>
  <c r="AU370" i="1"/>
  <c r="AU369" i="1"/>
  <c r="AU368" i="1"/>
  <c r="AU367" i="1"/>
  <c r="AU366" i="1"/>
  <c r="AU365" i="1"/>
  <c r="AU364" i="1"/>
  <c r="AU363" i="1"/>
  <c r="AU362" i="1"/>
  <c r="AU361" i="1"/>
  <c r="AU360" i="1"/>
  <c r="AU359" i="1"/>
  <c r="AU358" i="1"/>
  <c r="AU357" i="1"/>
  <c r="AU356" i="1"/>
  <c r="AU355" i="1"/>
  <c r="AU354" i="1"/>
  <c r="AU353" i="1"/>
  <c r="AU352" i="1"/>
  <c r="AU351" i="1"/>
  <c r="AU350" i="1"/>
  <c r="AU349" i="1"/>
  <c r="AU348" i="1"/>
  <c r="AU347" i="1"/>
  <c r="AU346" i="1"/>
  <c r="AU345" i="1"/>
  <c r="AU344" i="1"/>
  <c r="AU343" i="1"/>
  <c r="AU342" i="1"/>
  <c r="AU341" i="1"/>
  <c r="AU340" i="1"/>
  <c r="AU339" i="1"/>
  <c r="AU338" i="1"/>
  <c r="AU337" i="1"/>
  <c r="AU336" i="1"/>
  <c r="AU335" i="1"/>
  <c r="AU334" i="1"/>
  <c r="AU333" i="1"/>
  <c r="AU332" i="1"/>
  <c r="AU331" i="1"/>
  <c r="AU330" i="1"/>
  <c r="AU329" i="1"/>
  <c r="AU328" i="1"/>
  <c r="AU327" i="1"/>
  <c r="AU326" i="1"/>
  <c r="AU325" i="1"/>
  <c r="AU324" i="1"/>
  <c r="AU323" i="1"/>
  <c r="AU322" i="1"/>
  <c r="AU321" i="1"/>
  <c r="AU320" i="1"/>
  <c r="AU319" i="1"/>
  <c r="AU318" i="1"/>
  <c r="AU317" i="1"/>
  <c r="AU316" i="1"/>
  <c r="AU315" i="1"/>
  <c r="AU314" i="1"/>
  <c r="AU313" i="1"/>
  <c r="AU312" i="1"/>
  <c r="AU311" i="1"/>
  <c r="AU310" i="1"/>
  <c r="AU309" i="1"/>
  <c r="AU308" i="1"/>
  <c r="AU307" i="1"/>
  <c r="AU306" i="1"/>
  <c r="AU305" i="1"/>
  <c r="AU304" i="1"/>
  <c r="AU303" i="1"/>
  <c r="AU302" i="1"/>
  <c r="AU301" i="1"/>
  <c r="AU300" i="1"/>
  <c r="AU299" i="1"/>
  <c r="AU298" i="1"/>
  <c r="AU297" i="1"/>
  <c r="AU296" i="1"/>
  <c r="AU295" i="1"/>
  <c r="AU294" i="1"/>
  <c r="AU293" i="1"/>
  <c r="AU292" i="1"/>
  <c r="AU291" i="1"/>
  <c r="AU290" i="1"/>
  <c r="AU289" i="1"/>
  <c r="AU288" i="1"/>
  <c r="AU287" i="1"/>
  <c r="AU286" i="1"/>
  <c r="AU285" i="1"/>
  <c r="AU284" i="1"/>
  <c r="AU283" i="1"/>
  <c r="AU282" i="1"/>
  <c r="AU281" i="1"/>
  <c r="AU280" i="1"/>
  <c r="AU279" i="1"/>
  <c r="AU278" i="1"/>
  <c r="AU277" i="1"/>
  <c r="AU276" i="1"/>
  <c r="AU275" i="1"/>
  <c r="AU274" i="1"/>
  <c r="AU273" i="1"/>
  <c r="AU272" i="1"/>
  <c r="AU271" i="1"/>
  <c r="AU270" i="1"/>
  <c r="AU269" i="1"/>
  <c r="AU268" i="1"/>
  <c r="AU267" i="1"/>
  <c r="AU266" i="1"/>
  <c r="AU265" i="1"/>
  <c r="AU264" i="1"/>
  <c r="AU263" i="1"/>
  <c r="AU262" i="1"/>
  <c r="AU261" i="1"/>
  <c r="AU260" i="1"/>
  <c r="AU259" i="1"/>
  <c r="AU258" i="1"/>
  <c r="AU257" i="1"/>
  <c r="AU256" i="1"/>
  <c r="AU255" i="1"/>
  <c r="AU254" i="1"/>
  <c r="AU253" i="1"/>
  <c r="AU252" i="1"/>
  <c r="AU251" i="1"/>
  <c r="AU250" i="1"/>
  <c r="AU249" i="1"/>
  <c r="AU248" i="1"/>
  <c r="AU247" i="1"/>
  <c r="AU246" i="1"/>
  <c r="AU245" i="1"/>
  <c r="AU244" i="1"/>
  <c r="AU243" i="1"/>
  <c r="AU242" i="1"/>
  <c r="AU241" i="1"/>
  <c r="AU240" i="1"/>
  <c r="AU239" i="1"/>
  <c r="AU238" i="1"/>
  <c r="AU237" i="1"/>
  <c r="AU236" i="1"/>
  <c r="AU235" i="1"/>
  <c r="AU234" i="1"/>
  <c r="AU233" i="1"/>
  <c r="AU232" i="1"/>
  <c r="AU231" i="1"/>
  <c r="AU230" i="1"/>
  <c r="AU229" i="1"/>
  <c r="AU228" i="1"/>
  <c r="AU227" i="1"/>
  <c r="AU226" i="1"/>
  <c r="AU225" i="1"/>
  <c r="AU224" i="1"/>
  <c r="AU223" i="1"/>
  <c r="AU222" i="1"/>
  <c r="AU221" i="1"/>
  <c r="AU220" i="1"/>
  <c r="AU219" i="1"/>
  <c r="AU218" i="1"/>
  <c r="AU217" i="1"/>
  <c r="AU216" i="1"/>
  <c r="AU215" i="1"/>
  <c r="AU214" i="1"/>
  <c r="AU213" i="1"/>
  <c r="AU212" i="1"/>
  <c r="AU211" i="1"/>
  <c r="AU210" i="1"/>
  <c r="AU209" i="1"/>
  <c r="AU208" i="1"/>
  <c r="AU207" i="1"/>
  <c r="AU206" i="1"/>
  <c r="AU205" i="1"/>
  <c r="AU204" i="1"/>
  <c r="AU203" i="1"/>
  <c r="AU202" i="1"/>
  <c r="AU201" i="1"/>
  <c r="AU200" i="1"/>
  <c r="AU199" i="1"/>
  <c r="AU198" i="1"/>
  <c r="AU197" i="1"/>
  <c r="AU196" i="1"/>
  <c r="AU195" i="1"/>
  <c r="AU194" i="1"/>
  <c r="AU193" i="1"/>
  <c r="AU192" i="1"/>
  <c r="AU191" i="1"/>
  <c r="AU190" i="1"/>
  <c r="AU189" i="1"/>
  <c r="AU188" i="1"/>
  <c r="AU187" i="1"/>
  <c r="AU186" i="1"/>
  <c r="AU185" i="1"/>
  <c r="AU184" i="1"/>
  <c r="AU183" i="1"/>
  <c r="AU182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2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U5" i="1"/>
  <c r="AU4" i="1"/>
  <c r="AU3" i="1"/>
  <c r="AU2" i="1"/>
  <c r="AA10" i="4" l="1"/>
  <c r="AA11" i="4"/>
  <c r="AA9" i="4"/>
  <c r="AA12" i="4"/>
  <c r="O6" i="3"/>
  <c r="M9" i="4" s="1"/>
  <c r="O9" i="4" s="1"/>
  <c r="Z9" i="4" s="1"/>
  <c r="O7" i="3"/>
  <c r="O9" i="3"/>
  <c r="P9" i="3"/>
  <c r="N10" i="3"/>
  <c r="P5" i="3"/>
  <c r="O8" i="3"/>
  <c r="R8" i="3" s="1"/>
  <c r="L11" i="4"/>
  <c r="R9" i="3"/>
  <c r="M12" i="4"/>
  <c r="M10" i="4"/>
  <c r="O10" i="4" s="1"/>
  <c r="Z10" i="4" s="1"/>
  <c r="Q7" i="3"/>
  <c r="O5" i="3"/>
  <c r="J10" i="3"/>
  <c r="Y8" i="4"/>
  <c r="R7" i="3"/>
  <c r="L10" i="4"/>
  <c r="P6" i="3"/>
  <c r="AA8" i="4"/>
  <c r="I10" i="3"/>
  <c r="R6" i="3" l="1"/>
  <c r="Q9" i="3"/>
  <c r="P10" i="3"/>
  <c r="Q8" i="3"/>
  <c r="M11" i="4"/>
  <c r="O11" i="4" s="1"/>
  <c r="Z11" i="4" s="1"/>
  <c r="L13" i="4"/>
  <c r="Q6" i="3"/>
  <c r="O12" i="4"/>
  <c r="R5" i="3"/>
  <c r="Q5" i="3"/>
  <c r="O10" i="3"/>
  <c r="M8" i="4"/>
  <c r="O8" i="4" s="1"/>
  <c r="Z8" i="4" s="1"/>
  <c r="AD10" i="3" l="1"/>
  <c r="R10" i="3"/>
  <c r="Q10" i="3"/>
  <c r="Z12" i="4"/>
</calcChain>
</file>

<file path=xl/sharedStrings.xml><?xml version="1.0" encoding="utf-8"?>
<sst xmlns="http://schemas.openxmlformats.org/spreadsheetml/2006/main" count="9648" uniqueCount="1560">
  <si>
    <t>TGL FAKTUR</t>
  </si>
  <si>
    <t>i</t>
  </si>
  <si>
    <t>NO FAKTUR</t>
  </si>
  <si>
    <t>Nomor # Pengiriman Pesanan</t>
  </si>
  <si>
    <t>Tanggal Pengiriman Pesanan</t>
  </si>
  <si>
    <t>KATEGORI PELANGGAN</t>
  </si>
  <si>
    <t>ID PELANGGAN</t>
  </si>
  <si>
    <t>NAMA CUSTOMER</t>
  </si>
  <si>
    <t>NAMA ADMIN</t>
  </si>
  <si>
    <t>KATEGORI PENJUALAN</t>
  </si>
  <si>
    <t>KATEGORI BARANG</t>
  </si>
  <si>
    <t>NAMA TEKNISI</t>
  </si>
  <si>
    <t>NAMA TEKNISI (FINAL)</t>
  </si>
  <si>
    <t>YANG MENYERAHKAN/MENJUAL</t>
  </si>
  <si>
    <t>KERUSAKAN UTAMA</t>
  </si>
  <si>
    <t>MERK UNIT</t>
  </si>
  <si>
    <t>TIPE UNIT</t>
  </si>
  <si>
    <t>KODE BARANG</t>
  </si>
  <si>
    <t>NAMA BARANG</t>
  </si>
  <si>
    <t>HARGA BELI</t>
  </si>
  <si>
    <t>QTY</t>
  </si>
  <si>
    <t>@HARGA</t>
  </si>
  <si>
    <t>TOTAL HARGA</t>
  </si>
  <si>
    <t>Nama Default Penjual Pelanggan Faktur Penjualan</t>
  </si>
  <si>
    <t>Kata Kunci</t>
  </si>
  <si>
    <t>MF-FP.0001</t>
  </si>
  <si>
    <t>DO.2026.07.00008</t>
  </si>
  <si>
    <t>MEMBER REGULER</t>
  </si>
  <si>
    <t>MR. 082211643104</t>
  </si>
  <si>
    <t>CADLI</t>
  </si>
  <si>
    <t>RAYHAN KAFFI BUDIMAN</t>
  </si>
  <si>
    <t>SERVICE HP</t>
  </si>
  <si>
    <t>JASA</t>
  </si>
  <si>
    <t>IKANG TAUFIK</t>
  </si>
  <si>
    <t>TAUFIK</t>
  </si>
  <si>
    <t>LCD</t>
  </si>
  <si>
    <t>XIAOMI</t>
  </si>
  <si>
    <t>REDMI 8A</t>
  </si>
  <si>
    <t>100236</t>
  </si>
  <si>
    <t>JS HP LCD - INTERFACE</t>
  </si>
  <si>
    <t>SUPRIYADI</t>
  </si>
  <si>
    <t>AKSESORIS</t>
  </si>
  <si>
    <t>100194</t>
  </si>
  <si>
    <t>LUNA USB CABLE CB-2EC</t>
  </si>
  <si>
    <t>MF-FP.0003</t>
  </si>
  <si>
    <t>DO.2026.07.00015</t>
  </si>
  <si>
    <t>MR. 085717356063</t>
  </si>
  <si>
    <t>MAT SANHI</t>
  </si>
  <si>
    <t>RAYHAN</t>
  </si>
  <si>
    <t>YUFI NOFERIANTO</t>
  </si>
  <si>
    <t>OPPO</t>
  </si>
  <si>
    <t>A57</t>
  </si>
  <si>
    <t>MF-FP.0005</t>
  </si>
  <si>
    <t>DO.2026.07.00021</t>
  </si>
  <si>
    <t>Umum</t>
  </si>
  <si>
    <t>MR.081317813178</t>
  </si>
  <si>
    <t>DANIS</t>
  </si>
  <si>
    <t>MUHAMMAD NUR HANIF</t>
  </si>
  <si>
    <t>REALME</t>
  </si>
  <si>
    <t>C63</t>
  </si>
  <si>
    <t>MF-FP.0008</t>
  </si>
  <si>
    <t>DO.2026.07.00022</t>
  </si>
  <si>
    <t>MR. 087870766210</t>
  </si>
  <si>
    <t>RULI</t>
  </si>
  <si>
    <t>RAIHAN KAFFI BUDIMAN</t>
  </si>
  <si>
    <t>SAMSUNG</t>
  </si>
  <si>
    <t>S20 ULTRA</t>
  </si>
  <si>
    <t>MF-FP.0009</t>
  </si>
  <si>
    <t>DO.2026.07.00023</t>
  </si>
  <si>
    <t>MR. 08118988023</t>
  </si>
  <si>
    <t>UMAR</t>
  </si>
  <si>
    <t>EGI SETYA RAMADANI</t>
  </si>
  <si>
    <t>A12</t>
  </si>
  <si>
    <t>MF-FP.0010</t>
  </si>
  <si>
    <t>DO.2026.07.00024</t>
  </si>
  <si>
    <t>MR. 081906094845</t>
  </si>
  <si>
    <t>AJI</t>
  </si>
  <si>
    <t>MUHAMMAD ANELKA</t>
  </si>
  <si>
    <t>BELUM ADA MERK</t>
  </si>
  <si>
    <t>TECNO CAMMON 40</t>
  </si>
  <si>
    <t>100279</t>
  </si>
  <si>
    <t>VIVAN HYDROGEL BASIC CRYSTAL CLEAR VSP01T</t>
  </si>
  <si>
    <t>MF-FP.0013</t>
  </si>
  <si>
    <t>DO.2026.07.00028</t>
  </si>
  <si>
    <t>MR. 082260631634</t>
  </si>
  <si>
    <t>GILANG</t>
  </si>
  <si>
    <t>MUHAMMAD IBNU SIDDIQ</t>
  </si>
  <si>
    <t>APPLE</t>
  </si>
  <si>
    <t>IPHONE 8 PLUS</t>
  </si>
  <si>
    <t>MF-FP.0064</t>
  </si>
  <si>
    <t>DO.2026.07.00005</t>
  </si>
  <si>
    <t>MR. 081310192201</t>
  </si>
  <si>
    <t>EDI</t>
  </si>
  <si>
    <t>HANIF</t>
  </si>
  <si>
    <t>SPAREPART</t>
  </si>
  <si>
    <t>REPAIR</t>
  </si>
  <si>
    <t>ADVAN</t>
  </si>
  <si>
    <t>1405</t>
  </si>
  <si>
    <t>100338</t>
  </si>
  <si>
    <t>BATERAI ADVAN SOULMATE 1405 ZL-5270122-2S</t>
  </si>
  <si>
    <t>MF-FP.0068</t>
  </si>
  <si>
    <t>DO.2026.08.00003</t>
  </si>
  <si>
    <t>MR. 087873806000</t>
  </si>
  <si>
    <t>AGUS</t>
  </si>
  <si>
    <t>fold 3</t>
  </si>
  <si>
    <t>100341</t>
  </si>
  <si>
    <t>FLEX LCD SAMSUNG Z FOLD 3</t>
  </si>
  <si>
    <t>MF-FP.0023</t>
  </si>
  <si>
    <t>DO.2026.08.00011</t>
  </si>
  <si>
    <t>MR. 0831253123506301</t>
  </si>
  <si>
    <t>ARIFIN</t>
  </si>
  <si>
    <t>FLEXIBEL CHARGER (PAPAN KONEKTOR)</t>
  </si>
  <si>
    <t>INFINIX</t>
  </si>
  <si>
    <t>HOT 11 PLAY</t>
  </si>
  <si>
    <t>100231</t>
  </si>
  <si>
    <t>JS HP FLEXBILE - NORMAL</t>
  </si>
  <si>
    <t>MF-FP.0024</t>
  </si>
  <si>
    <t>DO.2026.08.00004</t>
  </si>
  <si>
    <t>MR. 08974300910</t>
  </si>
  <si>
    <t>NISA</t>
  </si>
  <si>
    <t>A03 CORE</t>
  </si>
  <si>
    <t>100344</t>
  </si>
  <si>
    <t>LCD SAMSUNG A03 CORE</t>
  </si>
  <si>
    <t>MF-FP.0028</t>
  </si>
  <si>
    <t>DO.2026.08.00021</t>
  </si>
  <si>
    <t>MR. 081282954344</t>
  </si>
  <si>
    <t>SIHABUDI</t>
  </si>
  <si>
    <t>FARID HASHBI SIDDIQ</t>
  </si>
  <si>
    <t>VIVO</t>
  </si>
  <si>
    <t>Y33</t>
  </si>
  <si>
    <t>MF-FP.0223</t>
  </si>
  <si>
    <t>DO.2026.08.00018</t>
  </si>
  <si>
    <t>MR. 08561227777</t>
  </si>
  <si>
    <t>DEDE</t>
  </si>
  <si>
    <t>REDMI NOTE 14 PRO</t>
  </si>
  <si>
    <t>100354</t>
  </si>
  <si>
    <t>LCD REDMI NOTE 13 PRO OLED</t>
  </si>
  <si>
    <t>MF-FP.0030</t>
  </si>
  <si>
    <t>DO.2026.08.00015</t>
  </si>
  <si>
    <t>MR. 085709262436</t>
  </si>
  <si>
    <t>IBNU RAHMAWAN</t>
  </si>
  <si>
    <t>FLEXIBEL VOLUME</t>
  </si>
  <si>
    <t>IPHPNE XS MAX</t>
  </si>
  <si>
    <t>100352</t>
  </si>
  <si>
    <t>FLEX VOLUME IPHONE XSMAX</t>
  </si>
  <si>
    <t>100244</t>
  </si>
  <si>
    <t>JS HP TOMBOL VOLUME - NORMAL</t>
  </si>
  <si>
    <t>MF-FP.0034</t>
  </si>
  <si>
    <t>DO.2026.08.00025</t>
  </si>
  <si>
    <t>MR. 085893708328</t>
  </si>
  <si>
    <t>SYARIF HIDAYAT</t>
  </si>
  <si>
    <t>REDMI NOTE 10S</t>
  </si>
  <si>
    <t>100277</t>
  </si>
  <si>
    <t>PENGIRIMAN PESANAN (WAJIB DIHAPUS SAAT FAKTUR)</t>
  </si>
  <si>
    <t>MF-FP.0094</t>
  </si>
  <si>
    <t>DO.2026.08.00010</t>
  </si>
  <si>
    <t>MR. 081511254044</t>
  </si>
  <si>
    <t>DESI</t>
  </si>
  <si>
    <t>A53</t>
  </si>
  <si>
    <t>100355</t>
  </si>
  <si>
    <t>BACKDOOR SAMSUNG A53 PEACH</t>
  </si>
  <si>
    <t>MF-FP.0032</t>
  </si>
  <si>
    <t>DO.2026.08.00026</t>
  </si>
  <si>
    <t>MR. 081282925671</t>
  </si>
  <si>
    <t>BAYU</t>
  </si>
  <si>
    <t>ASUS</t>
  </si>
  <si>
    <t>ZENFONE M1</t>
  </si>
  <si>
    <t>100227</t>
  </si>
  <si>
    <t>JS HP - SPAREPART BAWA - INTERFACE</t>
  </si>
  <si>
    <t>MF-FP.0045</t>
  </si>
  <si>
    <t>DO.2026.07.00003</t>
  </si>
  <si>
    <t>MR.081584033553</t>
  </si>
  <si>
    <t>PUTRI</t>
  </si>
  <si>
    <t>SERVICE LAPTOP</t>
  </si>
  <si>
    <t>INBOOX X1</t>
  </si>
  <si>
    <t>MF-FP.0002</t>
  </si>
  <si>
    <t>DO.2026.07.00010</t>
  </si>
  <si>
    <t>PENJUALAN AKSESORIS</t>
  </si>
  <si>
    <t>N/A</t>
  </si>
  <si>
    <t>GOOGLE PIXEL 8A</t>
  </si>
  <si>
    <t>100278</t>
  </si>
  <si>
    <t>VIVAN HYDROGEL BASIC ANTI GLARE VSP03T</t>
  </si>
  <si>
    <t>MF-FP.0016</t>
  </si>
  <si>
    <t>DO.2026.07.00018</t>
  </si>
  <si>
    <t>MR. 081384549950</t>
  </si>
  <si>
    <t>WULAN</t>
  </si>
  <si>
    <t>FLEXIBEL ON/OFF</t>
  </si>
  <si>
    <t>A16</t>
  </si>
  <si>
    <t>100324</t>
  </si>
  <si>
    <t>FLEX ON/OFF SAMSUNG A6 2018</t>
  </si>
  <si>
    <t>100330</t>
  </si>
  <si>
    <t>LCD SAMSUNG A6 PLUS</t>
  </si>
  <si>
    <t>100329</t>
  </si>
  <si>
    <t>BATERAI SAMSUNG A6 PLUS</t>
  </si>
  <si>
    <t>MF-FP.0015</t>
  </si>
  <si>
    <t>DO.2026.08.00005</t>
  </si>
  <si>
    <t>MR. 085719105429</t>
  </si>
  <si>
    <t>SOLIKIN</t>
  </si>
  <si>
    <t>A04</t>
  </si>
  <si>
    <t>MF-FP.0020</t>
  </si>
  <si>
    <t>DO.2026.07.00026</t>
  </si>
  <si>
    <t>MR, 081321861757</t>
  </si>
  <si>
    <t>RASYA</t>
  </si>
  <si>
    <t>REDMI S2</t>
  </si>
  <si>
    <t>MF-FP.0031</t>
  </si>
  <si>
    <t>DO.2026.08.00019</t>
  </si>
  <si>
    <t>C.00006</t>
  </si>
  <si>
    <t>OMI</t>
  </si>
  <si>
    <t>A05</t>
  </si>
  <si>
    <t>MF-FP.0044</t>
  </si>
  <si>
    <t>DO.2026.08.00023</t>
  </si>
  <si>
    <t>MR. 085692436818</t>
  </si>
  <si>
    <t>NOVIA</t>
  </si>
  <si>
    <t>REALME 8 5G</t>
  </si>
  <si>
    <t>100356</t>
  </si>
  <si>
    <t>LCD REALME 6 / 8 5G</t>
  </si>
  <si>
    <t>MF-FP.0027</t>
  </si>
  <si>
    <t>DO.2026.08.00020</t>
  </si>
  <si>
    <t>MR. 089517384609</t>
  </si>
  <si>
    <t>ALFA</t>
  </si>
  <si>
    <t>IPHONE XR</t>
  </si>
  <si>
    <t>100358</t>
  </si>
  <si>
    <t>LCD IPHONE XR</t>
  </si>
  <si>
    <t>100360</t>
  </si>
  <si>
    <t>KONEKTOR CHARGER SAMSUNG  A05</t>
  </si>
  <si>
    <t>MF-FP.0035</t>
  </si>
  <si>
    <t>DO.2026.08.00029</t>
  </si>
  <si>
    <t>MR. 082121766328</t>
  </si>
  <si>
    <t>IPHONE</t>
  </si>
  <si>
    <t>100351</t>
  </si>
  <si>
    <t>LCD VIVO Y33</t>
  </si>
  <si>
    <t>MF-FP.0036</t>
  </si>
  <si>
    <t>DO.2026.08.00033</t>
  </si>
  <si>
    <t>MR. 081336557941</t>
  </si>
  <si>
    <t>IBU HENI</t>
  </si>
  <si>
    <t>A50</t>
  </si>
  <si>
    <t>100238</t>
  </si>
  <si>
    <t>JS HP PAPAN CAS - NORMAL</t>
  </si>
  <si>
    <t>MF-FP.0040</t>
  </si>
  <si>
    <t>DO.2026.08.00039</t>
  </si>
  <si>
    <t>MR. 082139720969</t>
  </si>
  <si>
    <t>JESSY</t>
  </si>
  <si>
    <t>Y12S</t>
  </si>
  <si>
    <t>MF-FP.0047</t>
  </si>
  <si>
    <t>DO.2026.08.00032</t>
  </si>
  <si>
    <t>MR. 085973985603</t>
  </si>
  <si>
    <t>AKBAR</t>
  </si>
  <si>
    <t>11 T 5G</t>
  </si>
  <si>
    <t>MF-FP.0195</t>
  </si>
  <si>
    <t>DO.2026.08.00035</t>
  </si>
  <si>
    <t>MR. 081311002179</t>
  </si>
  <si>
    <t>SAM</t>
  </si>
  <si>
    <t>REDMI NOTE 11 PRO 5G</t>
  </si>
  <si>
    <t>100363</t>
  </si>
  <si>
    <t>BACKDOOR REDMI NOTE 11 PRO 5G BLACK</t>
  </si>
  <si>
    <t>100364</t>
  </si>
  <si>
    <t>BAZEL REDMI NOTE 11 PRO 4G/5G</t>
  </si>
  <si>
    <t>100365</t>
  </si>
  <si>
    <t>LCD XIAOMI MI11T/MI11T PRO</t>
  </si>
  <si>
    <t>MF-FP.0049</t>
  </si>
  <si>
    <t>DO.2026.08.00043</t>
  </si>
  <si>
    <t>MR. 081297707032</t>
  </si>
  <si>
    <t>a16</t>
  </si>
  <si>
    <t>MF-FP.0012</t>
  </si>
  <si>
    <t>DO.2026.07.00002</t>
  </si>
  <si>
    <t>NOTE 11 PRO</t>
  </si>
  <si>
    <t>MF-FP.0014</t>
  </si>
  <si>
    <t>DO.2026.08.00002</t>
  </si>
  <si>
    <t>BATERAI</t>
  </si>
  <si>
    <t>X3 NFC</t>
  </si>
  <si>
    <t>100229</t>
  </si>
  <si>
    <t>JS HP BATERAI - INTERFACE</t>
  </si>
  <si>
    <t>100336</t>
  </si>
  <si>
    <t>ENGSEL INFINIX LAPTOP X1 / X1PRO KIRI</t>
  </si>
  <si>
    <t>MF-FP.0017</t>
  </si>
  <si>
    <t>DO.2026.08.00007</t>
  </si>
  <si>
    <t>MR. 081243493483</t>
  </si>
  <si>
    <t>ANDI</t>
  </si>
  <si>
    <t>A23</t>
  </si>
  <si>
    <t>MF-FP.0018</t>
  </si>
  <si>
    <t>DO.2026.08.00008</t>
  </si>
  <si>
    <t>MR. 085176719957</t>
  </si>
  <si>
    <t>FAHMI</t>
  </si>
  <si>
    <t>REDMI NOTE 12</t>
  </si>
  <si>
    <t>MF-FP.0043</t>
  </si>
  <si>
    <t>DO.2026.08.00013</t>
  </si>
  <si>
    <t>MR. 089626812542</t>
  </si>
  <si>
    <t>JULIANA</t>
  </si>
  <si>
    <t>BROOKLYN TEMPERAD GLASS</t>
  </si>
  <si>
    <t>100139</t>
  </si>
  <si>
    <t>BROOKLYN TEMPERED GLASS IPHONE 13/13 PRO/14/16E VER2</t>
  </si>
  <si>
    <t>MF-FP.0026</t>
  </si>
  <si>
    <t>DO.2026.08.00017</t>
  </si>
  <si>
    <t>MR. 085794016631</t>
  </si>
  <si>
    <t>ANGGI</t>
  </si>
  <si>
    <t>Y12</t>
  </si>
  <si>
    <t>100195</t>
  </si>
  <si>
    <t>LUNA USB CABLE CB-2EL</t>
  </si>
  <si>
    <t>MF-FP.0029</t>
  </si>
  <si>
    <t>DO.2026.08.00022</t>
  </si>
  <si>
    <t>MR. 081317591905</t>
  </si>
  <si>
    <t>DAFI</t>
  </si>
  <si>
    <t>POCO X3</t>
  </si>
  <si>
    <t>MF-FP.0038</t>
  </si>
  <si>
    <t>DO.2026.08.00037</t>
  </si>
  <si>
    <t>MR. 081226009404</t>
  </si>
  <si>
    <t>FAUZAN</t>
  </si>
  <si>
    <t>17 PRO MAX</t>
  </si>
  <si>
    <t>100169</t>
  </si>
  <si>
    <t>BROOKLYN TEMPERED GLASS IPHONE 17 PROMAX PRIVACY</t>
  </si>
  <si>
    <t>FAUZAN RISMAHYUDI</t>
  </si>
  <si>
    <t>MF-FP.0039</t>
  </si>
  <si>
    <t>DO.2026.08.00038</t>
  </si>
  <si>
    <t>C.00007</t>
  </si>
  <si>
    <t>RAFA RND</t>
  </si>
  <si>
    <t>100197</t>
  </si>
  <si>
    <t>LUNA VERMONT SAPPHIRE MATERIAL CLEAR</t>
  </si>
  <si>
    <t>MF-FP.0095</t>
  </si>
  <si>
    <t>DO.2026.08.00041</t>
  </si>
  <si>
    <t>MR. 081399466980</t>
  </si>
  <si>
    <t>DAFIN</t>
  </si>
  <si>
    <t>F9</t>
  </si>
  <si>
    <t>100369</t>
  </si>
  <si>
    <t>LCD OPPO F9</t>
  </si>
  <si>
    <t>MF-FP.0050</t>
  </si>
  <si>
    <t>DO.2026.08.00044</t>
  </si>
  <si>
    <t>MR. 085811182889</t>
  </si>
  <si>
    <t>PAK IBRAHIM HO</t>
  </si>
  <si>
    <t>IPHONE 14</t>
  </si>
  <si>
    <t>MF-FP.0051</t>
  </si>
  <si>
    <t>DO.2026.08.00046</t>
  </si>
  <si>
    <t>MR. 081314793033</t>
  </si>
  <si>
    <t>ALDO</t>
  </si>
  <si>
    <t>15 PRO</t>
  </si>
  <si>
    <t>100046</t>
  </si>
  <si>
    <t>SPOTLITE TEMPERED GLASS CRYSTAL IPHONE 15 PRO</t>
  </si>
  <si>
    <t>100357</t>
  </si>
  <si>
    <t>LCD SAMSUNG A05</t>
  </si>
  <si>
    <t>100359</t>
  </si>
  <si>
    <t>LCD POCO X3 NFC</t>
  </si>
  <si>
    <t>100361</t>
  </si>
  <si>
    <t>FLEXIBEL BOARD REDMI NOTE 10S</t>
  </si>
  <si>
    <t>MF-FP.0042</t>
  </si>
  <si>
    <t>DO.2026.08.00006</t>
  </si>
  <si>
    <t>MR. 085221841791</t>
  </si>
  <si>
    <t>ALI NURDIN</t>
  </si>
  <si>
    <t>REDMI 13</t>
  </si>
  <si>
    <t>100350</t>
  </si>
  <si>
    <t>LCD REDMI 13</t>
  </si>
  <si>
    <t>MF-FP.0046</t>
  </si>
  <si>
    <t>DO.2026.08.00031</t>
  </si>
  <si>
    <t>MR. 081390802600</t>
  </si>
  <si>
    <t>NATA</t>
  </si>
  <si>
    <t>CLEAN UP</t>
  </si>
  <si>
    <t>A442U</t>
  </si>
  <si>
    <t>100265</t>
  </si>
  <si>
    <t>JS LP PASTA + CLEAN UP - NORMAL</t>
  </si>
  <si>
    <t>100368</t>
  </si>
  <si>
    <t>FLEXIBEL CHARGER NOTE 11 PRO 5G</t>
  </si>
  <si>
    <t>100367</t>
  </si>
  <si>
    <t>FLEXIBEL CHARGER SAMSUNG A50</t>
  </si>
  <si>
    <t>MF-FP.0053</t>
  </si>
  <si>
    <t>DO.2026.07.00025</t>
  </si>
  <si>
    <t>MR. 088299764326</t>
  </si>
  <si>
    <t>FIKRI AGUNG</t>
  </si>
  <si>
    <t>ENGSEL</t>
  </si>
  <si>
    <t>ACER</t>
  </si>
  <si>
    <t>ASPIRE LITE 14</t>
  </si>
  <si>
    <t>MF-FP.0060</t>
  </si>
  <si>
    <t>DO.2026.08.00027</t>
  </si>
  <si>
    <t>X3</t>
  </si>
  <si>
    <t>100371</t>
  </si>
  <si>
    <t>FLEX ON/OFF VOL POCO X3/X3 PRO NFC</t>
  </si>
  <si>
    <t>100372</t>
  </si>
  <si>
    <t>PERNIK POCO X3/X3 NFC/X3 PRO BLACK</t>
  </si>
  <si>
    <t>100252</t>
  </si>
  <si>
    <t>JS LP ENGSEL - NORMAL</t>
  </si>
  <si>
    <t>MF-FP.0054</t>
  </si>
  <si>
    <t>DO.2026.08.00045</t>
  </si>
  <si>
    <t>S22 ULTRA</t>
  </si>
  <si>
    <t>100373</t>
  </si>
  <si>
    <t>LCD OLED 1:1 SAMSUNG S22 ULTRA</t>
  </si>
  <si>
    <t>MF-FP.0057</t>
  </si>
  <si>
    <t>DO.2026.08.00047</t>
  </si>
  <si>
    <t>MR. 081315587705</t>
  </si>
  <si>
    <t>GEISHA</t>
  </si>
  <si>
    <t>KAMERA DEPAN</t>
  </si>
  <si>
    <t>M415</t>
  </si>
  <si>
    <t>100263</t>
  </si>
  <si>
    <t>JS LP MESIN NON SPAREPART - NORMAL</t>
  </si>
  <si>
    <t>100250</t>
  </si>
  <si>
    <t>JS LP BATERAI - INTERFACE</t>
  </si>
  <si>
    <t>MF-FP.0058</t>
  </si>
  <si>
    <t>DO.2026.08.00048</t>
  </si>
  <si>
    <t>MR. 085694550779</t>
  </si>
  <si>
    <t>ANJANI</t>
  </si>
  <si>
    <t>FLEXIBEL FINGERPRINT</t>
  </si>
  <si>
    <t>MI 11T PRO</t>
  </si>
  <si>
    <t>100376</t>
  </si>
  <si>
    <t>FLEX FINGERPRINT XIAOMI 11T / 11T PRO SILVER</t>
  </si>
  <si>
    <t>100378</t>
  </si>
  <si>
    <t>LCD VIVO Y12S</t>
  </si>
  <si>
    <t>MF-FP.0055</t>
  </si>
  <si>
    <t>DO.2026.08.00049</t>
  </si>
  <si>
    <t>MR. 081295917534</t>
  </si>
  <si>
    <t>EDI RIYANTO</t>
  </si>
  <si>
    <t>MF-FP.0056</t>
  </si>
  <si>
    <t>DO.2026.08.00050</t>
  </si>
  <si>
    <t>MR. 081310918632</t>
  </si>
  <si>
    <t>SONY</t>
  </si>
  <si>
    <t>MI NOTE 10</t>
  </si>
  <si>
    <t>MF-FP.0059</t>
  </si>
  <si>
    <t>DO.2026.08.00052</t>
  </si>
  <si>
    <t>NOTE 4</t>
  </si>
  <si>
    <t>100243</t>
  </si>
  <si>
    <t>JS HP TOMBOL ON OFF - NORMAL</t>
  </si>
  <si>
    <t>MF-FP.0063</t>
  </si>
  <si>
    <t>DO.2026.08.00055</t>
  </si>
  <si>
    <t>MR. 082163247898</t>
  </si>
  <si>
    <t>MUNI</t>
  </si>
  <si>
    <t>IPHONE 12 PRO</t>
  </si>
  <si>
    <t>MF-FP.0065</t>
  </si>
  <si>
    <t>DO.2026.08.00034</t>
  </si>
  <si>
    <t>A8 PLUS</t>
  </si>
  <si>
    <t>100382</t>
  </si>
  <si>
    <t>BATERAI SAMSUNG A8+/A730 2018</t>
  </si>
  <si>
    <t>100343</t>
  </si>
  <si>
    <t>LCD SAMSUNG A04</t>
  </si>
  <si>
    <t>100387</t>
  </si>
  <si>
    <t>LCD IPHONE 12 PRO</t>
  </si>
  <si>
    <t>MF-FP.0066</t>
  </si>
  <si>
    <t>DO.2026.08.00058</t>
  </si>
  <si>
    <t>MR. 087777975882</t>
  </si>
  <si>
    <t>RIDWAN</t>
  </si>
  <si>
    <t>Y20S</t>
  </si>
  <si>
    <t>MF-FP.0069</t>
  </si>
  <si>
    <t>DO.2026.08.00060</t>
  </si>
  <si>
    <t>MR. 081775498257`</t>
  </si>
  <si>
    <t>AMALIA YULIANTI</t>
  </si>
  <si>
    <t>17 PROMAX</t>
  </si>
  <si>
    <t>MF-FP.0070</t>
  </si>
  <si>
    <t>DO.2026.08.00061</t>
  </si>
  <si>
    <t>MR. 0821129813600</t>
  </si>
  <si>
    <t>GAZI</t>
  </si>
  <si>
    <t>A72</t>
  </si>
  <si>
    <t>MF-FP.0096</t>
  </si>
  <si>
    <t>DO.2026.08.00057</t>
  </si>
  <si>
    <t>MR. 088905316093</t>
  </si>
  <si>
    <t>AMIN</t>
  </si>
  <si>
    <t>NARZO 20</t>
  </si>
  <si>
    <t>100396</t>
  </si>
  <si>
    <t>LCD REALME NARZO 20</t>
  </si>
  <si>
    <t>100397</t>
  </si>
  <si>
    <t>LCD SAMSUNG A72</t>
  </si>
  <si>
    <t>100377</t>
  </si>
  <si>
    <t>LCD OPPO A16</t>
  </si>
  <si>
    <t>MF-FP.0090</t>
  </si>
  <si>
    <t>DO.2026.08.00040</t>
  </si>
  <si>
    <t>MR. 0895385255911</t>
  </si>
  <si>
    <t>JAJAT</t>
  </si>
  <si>
    <t>IPHONE 13</t>
  </si>
  <si>
    <t>100385</t>
  </si>
  <si>
    <t>LCD IPHONE 13</t>
  </si>
  <si>
    <t>MF-FP.0077</t>
  </si>
  <si>
    <t>DO.2026.08.00068</t>
  </si>
  <si>
    <t>MR. 081288690047</t>
  </si>
  <si>
    <t>SURYA</t>
  </si>
  <si>
    <t>S22</t>
  </si>
  <si>
    <t>MF-FP.0078</t>
  </si>
  <si>
    <t>DO.2026.08.00070</t>
  </si>
  <si>
    <t>MR. 087887784084</t>
  </si>
  <si>
    <t>FREDY</t>
  </si>
  <si>
    <t>3 PRO</t>
  </si>
  <si>
    <t>MF-FP.0079</t>
  </si>
  <si>
    <t>DO.2026.08.00071</t>
  </si>
  <si>
    <t>MR. 089680936903</t>
  </si>
  <si>
    <t>EZA</t>
  </si>
  <si>
    <t>POCO X3 NFC</t>
  </si>
  <si>
    <t>MF-FP.0083</t>
  </si>
  <si>
    <t>DO.2026.08.00065</t>
  </si>
  <si>
    <t>MR. 085714599670</t>
  </si>
  <si>
    <t>SERYL</t>
  </si>
  <si>
    <t>A30S</t>
  </si>
  <si>
    <t>100403</t>
  </si>
  <si>
    <t>LCD SAMSUNG A30S / A30 / A50 / A50S /</t>
  </si>
  <si>
    <t>MF-FP.0124</t>
  </si>
  <si>
    <t>DO.2026.08.00076</t>
  </si>
  <si>
    <t>MR. 082298009992</t>
  </si>
  <si>
    <t>TETI</t>
  </si>
  <si>
    <t>A07</t>
  </si>
  <si>
    <t>MF-FP.0092</t>
  </si>
  <si>
    <t>DO.2026.08.00085</t>
  </si>
  <si>
    <t>MR. 0895360700706</t>
  </si>
  <si>
    <t>ERNI</t>
  </si>
  <si>
    <t>A17</t>
  </si>
  <si>
    <t>100424</t>
  </si>
  <si>
    <t>LCD OPPO A17 / A17K / A18 / A38 / A57 2022</t>
  </si>
  <si>
    <t>MF-FP.0097</t>
  </si>
  <si>
    <t>DO.2026.08.00088</t>
  </si>
  <si>
    <t>MR. 082379519878</t>
  </si>
  <si>
    <t>ANWAR</t>
  </si>
  <si>
    <t>A03</t>
  </si>
  <si>
    <t>100426</t>
  </si>
  <si>
    <t>LCD SAMSUNG A03S / A02S / A03 / A04E / M02S / M04 / F04 / F02S</t>
  </si>
  <si>
    <t>MF-FP.0100</t>
  </si>
  <si>
    <t>DO.2026.08.00081</t>
  </si>
  <si>
    <t>MR. 081357119808</t>
  </si>
  <si>
    <t>DAFA</t>
  </si>
  <si>
    <t>POCO F6</t>
  </si>
  <si>
    <t>MF-FP.0062</t>
  </si>
  <si>
    <t>DO.2026.08.00054</t>
  </si>
  <si>
    <t>MR. 081283568925</t>
  </si>
  <si>
    <t>RAISY</t>
  </si>
  <si>
    <t>ENVY X360</t>
  </si>
  <si>
    <t>100230</t>
  </si>
  <si>
    <t>JS HP CLEAN-UP - NORMAL</t>
  </si>
  <si>
    <t>MF-FP.0067</t>
  </si>
  <si>
    <t>DO.2026.08.00059</t>
  </si>
  <si>
    <t>MR. 085779249420</t>
  </si>
  <si>
    <t>ALVIN</t>
  </si>
  <si>
    <t>A04E</t>
  </si>
  <si>
    <t>100398</t>
  </si>
  <si>
    <t>LCD SAMSUNG A04E</t>
  </si>
  <si>
    <t>100399</t>
  </si>
  <si>
    <t>BATERAI VIVO Y20S</t>
  </si>
  <si>
    <t>100228</t>
  </si>
  <si>
    <t>JS HP BACKDOOR - NORMAL</t>
  </si>
  <si>
    <t>MF-FP.0076</t>
  </si>
  <si>
    <t>DO.2026.08.00062</t>
  </si>
  <si>
    <t>100395</t>
  </si>
  <si>
    <t>FLEXIBEL CHARGER SAMSUNG A50 ORI</t>
  </si>
  <si>
    <t>MF-FP.0073</t>
  </si>
  <si>
    <t>DO.2026.08.00067</t>
  </si>
  <si>
    <t>MR. 081381109997</t>
  </si>
  <si>
    <t>UDA CIBUBUR MANSION</t>
  </si>
  <si>
    <t>MF-FP.0075</t>
  </si>
  <si>
    <t>DO.2026.08.00069</t>
  </si>
  <si>
    <t>POCO M4</t>
  </si>
  <si>
    <t>MF-FP.0084</t>
  </si>
  <si>
    <t>DO.2026.08.00075</t>
  </si>
  <si>
    <t>MR.0895403582654</t>
  </si>
  <si>
    <t>ROSI</t>
  </si>
  <si>
    <t>VIVAN Q15SC</t>
  </si>
  <si>
    <t>100296</t>
  </si>
  <si>
    <t>VIVAN WIRED EARPHONE Q15SC BLACK</t>
  </si>
  <si>
    <t>100411</t>
  </si>
  <si>
    <t>LCD POCO M4 PRO / REDMI NOTE 11S / REDMI NOTE 11 / REDMI NOTE 12S</t>
  </si>
  <si>
    <t>100409</t>
  </si>
  <si>
    <t>LCD SAMSUNG S22 + FRAME OLED</t>
  </si>
  <si>
    <t>MF-FP.0081</t>
  </si>
  <si>
    <t>DO.2026.08.00073</t>
  </si>
  <si>
    <t>MR. 08781289821</t>
  </si>
  <si>
    <t>HIDAN</t>
  </si>
  <si>
    <t>100347</t>
  </si>
  <si>
    <t>LCD REDMI NOTE 12</t>
  </si>
  <si>
    <t>MF-FP.0082</t>
  </si>
  <si>
    <t>DO.2026.08.00074</t>
  </si>
  <si>
    <t>MR. 089523472145</t>
  </si>
  <si>
    <t>OMEN</t>
  </si>
  <si>
    <t>A14 5G</t>
  </si>
  <si>
    <t>100413</t>
  </si>
  <si>
    <t>LCD SAMSUNG A14 4G/5G / M14 5G</t>
  </si>
  <si>
    <t>100405</t>
  </si>
  <si>
    <t>PERNIK TOMBOL LUAR SAMSUNG A30S / A20 / A30 / A50 / A50S / A70</t>
  </si>
  <si>
    <t>MF-FP.0099</t>
  </si>
  <si>
    <t>DO.2026.08.00056</t>
  </si>
  <si>
    <t>MR. 089525969867</t>
  </si>
  <si>
    <t>ABIDI AMIN</t>
  </si>
  <si>
    <t>HUAWEI</t>
  </si>
  <si>
    <t>P40 PRO 5G</t>
  </si>
  <si>
    <t>100400</t>
  </si>
  <si>
    <t>LCD HUAWEI P40 PRO</t>
  </si>
  <si>
    <t>MF-FP.0061</t>
  </si>
  <si>
    <t>DO.2026.08.00053</t>
  </si>
  <si>
    <t>MR. 085879606261</t>
  </si>
  <si>
    <t>RENDI</t>
  </si>
  <si>
    <t>MATI TOTAL</t>
  </si>
  <si>
    <t>A54</t>
  </si>
  <si>
    <t>100388</t>
  </si>
  <si>
    <t>SOKET BATERAI SAMSUNG A24 / A34 / A54</t>
  </si>
  <si>
    <t>MF-FP.0089</t>
  </si>
  <si>
    <t>DO.2026.08.00078</t>
  </si>
  <si>
    <t>MR. 085927705020</t>
  </si>
  <si>
    <t>ANDRY JAYA MOTOR</t>
  </si>
  <si>
    <t>5 PRO</t>
  </si>
  <si>
    <t>100226</t>
  </si>
  <si>
    <t>JS HP - MATI TOTAL</t>
  </si>
  <si>
    <t>MF-FP.0093</t>
  </si>
  <si>
    <t>DO.2026.08.00086</t>
  </si>
  <si>
    <t>MR. 08118828600</t>
  </si>
  <si>
    <t>ADE</t>
  </si>
  <si>
    <t>A32</t>
  </si>
  <si>
    <t>100381</t>
  </si>
  <si>
    <t>PERNIK ON/OFF XIAOMI REDMI NOTE 4 GOLD</t>
  </si>
  <si>
    <t>MF-FP.0071</t>
  </si>
  <si>
    <t>DO.2026.08.00066</t>
  </si>
  <si>
    <t>GAN SETT CHARGER</t>
  </si>
  <si>
    <t>100014</t>
  </si>
  <si>
    <t>CHARGER SET GAN PD30W-PC09-CC PUTIH</t>
  </si>
  <si>
    <t>100383</t>
  </si>
  <si>
    <t>BACKGLASS IPHONE 13 WHITE</t>
  </si>
  <si>
    <t>100410</t>
  </si>
  <si>
    <t>LCD SAMSUNG A17 / A16 4G / A16 5G / A26 5G</t>
  </si>
  <si>
    <t>100412</t>
  </si>
  <si>
    <t>BATERAI REALME 3 PRO BLP713</t>
  </si>
  <si>
    <t>MF-FP.0087</t>
  </si>
  <si>
    <t>DO.2026.08.00079</t>
  </si>
  <si>
    <t>S24 ULTRA</t>
  </si>
  <si>
    <t>MF-FP.0088</t>
  </si>
  <si>
    <t>DO.2026.08.00080</t>
  </si>
  <si>
    <t>XS MAX</t>
  </si>
  <si>
    <t>MF-FP.0091</t>
  </si>
  <si>
    <t>DO.2026.08.00084</t>
  </si>
  <si>
    <t>MR. 081282139984</t>
  </si>
  <si>
    <t>SULTAN</t>
  </si>
  <si>
    <t>XR</t>
  </si>
  <si>
    <t>100314</t>
  </si>
  <si>
    <t>ROBOT DATA CABLE RUDCL100 BLUE</t>
  </si>
  <si>
    <t>100015</t>
  </si>
  <si>
    <t>CHARGER SET PC09 GAN PD30W WHITE</t>
  </si>
  <si>
    <t>100241</t>
  </si>
  <si>
    <t>JS HP SOFTWARE - NORMAL</t>
  </si>
  <si>
    <t>MF-FP.0098</t>
  </si>
  <si>
    <t>DO.2026.08.00087</t>
  </si>
  <si>
    <t>MR. 089656470344</t>
  </si>
  <si>
    <t>ERWIN</t>
  </si>
  <si>
    <t>100421</t>
  </si>
  <si>
    <t>LCD SAMSUNG A07</t>
  </si>
  <si>
    <t>100402</t>
  </si>
  <si>
    <t>LCD OPPO A54 4G / A55 4G / A53 / A53 2020 / A53S 2020 / A32 2020 / A33 2020 / REALME C17 / REALME C7I</t>
  </si>
  <si>
    <t>MF-FP.0103</t>
  </si>
  <si>
    <t>DO.2026.08.00094</t>
  </si>
  <si>
    <t>MR. 087888709246</t>
  </si>
  <si>
    <t>RENO 5 4G</t>
  </si>
  <si>
    <t>100193</t>
  </si>
  <si>
    <t>LUNA EARPHONE JACK 3,5MM EJ-4V</t>
  </si>
  <si>
    <t>100422</t>
  </si>
  <si>
    <t>LCD REALME 5 PRO</t>
  </si>
  <si>
    <t>100423</t>
  </si>
  <si>
    <t>BATERAI IPHONE XSMAX</t>
  </si>
  <si>
    <t>100425</t>
  </si>
  <si>
    <t>LCD SAMSUNG A32 / M32 4G</t>
  </si>
  <si>
    <t>100417</t>
  </si>
  <si>
    <t>BATERAI POCO F6 BP56 ORI</t>
  </si>
  <si>
    <t>100380</t>
  </si>
  <si>
    <t>KONEKTOR CHARGER POCO X3 ORI</t>
  </si>
  <si>
    <t>MF-FP.0101</t>
  </si>
  <si>
    <t>DO.2026.08.00092</t>
  </si>
  <si>
    <t>MF-FP.0104</t>
  </si>
  <si>
    <t>DO.2026.08.00097</t>
  </si>
  <si>
    <t>MR. 089510550015</t>
  </si>
  <si>
    <t>FITRI</t>
  </si>
  <si>
    <t>ITEL A60S</t>
  </si>
  <si>
    <t>MF-FP.0102</t>
  </si>
  <si>
    <t>DO.2026.08.00095</t>
  </si>
  <si>
    <t>RENO 5</t>
  </si>
  <si>
    <t>100170</t>
  </si>
  <si>
    <t>SOFTCASE MACARON ALL TYPE</t>
  </si>
  <si>
    <t>MF-FP.0105</t>
  </si>
  <si>
    <t>DO.2026.08.00091</t>
  </si>
  <si>
    <t>MR. 089652223601</t>
  </si>
  <si>
    <t>FAIZ</t>
  </si>
  <si>
    <t>A10S</t>
  </si>
  <si>
    <t>MF-FP.0106</t>
  </si>
  <si>
    <t>DO.2026.08.00100</t>
  </si>
  <si>
    <t>MR. 081385947600</t>
  </si>
  <si>
    <t>COKY</t>
  </si>
  <si>
    <t>CP02-C</t>
  </si>
  <si>
    <t>100020</t>
  </si>
  <si>
    <t>UFONE CP02-C 2.4A TRAVEL CHARGER SET WHITE</t>
  </si>
  <si>
    <t>MF-FP.0107</t>
  </si>
  <si>
    <t>DO.2026.08.00101</t>
  </si>
  <si>
    <t>MR. 085813972109</t>
  </si>
  <si>
    <t>CUSTOMER</t>
  </si>
  <si>
    <t>C TO C</t>
  </si>
  <si>
    <t>100016</t>
  </si>
  <si>
    <t>U1ME DCP01-CC FLEX 60W USB-C TO C SILICONE DATA CABLE BLACK</t>
  </si>
  <si>
    <t>MF-FP.0108</t>
  </si>
  <si>
    <t>DO.2026.08.00103</t>
  </si>
  <si>
    <t>MR. 085875946574</t>
  </si>
  <si>
    <t>ADIT KURNIAWAN</t>
  </si>
  <si>
    <t>100432</t>
  </si>
  <si>
    <t>BATERAI SAMSUNG A10S / A20S / A21 / A11</t>
  </si>
  <si>
    <t>MF-FP.0110</t>
  </si>
  <si>
    <t>DO.2026.08.00104</t>
  </si>
  <si>
    <t>MR. 087875005895</t>
  </si>
  <si>
    <t>JUMEDI</t>
  </si>
  <si>
    <t>Y20</t>
  </si>
  <si>
    <t>MF-FP.0114</t>
  </si>
  <si>
    <t>DO.2026.08.00042</t>
  </si>
  <si>
    <t>MR. 089608786698</t>
  </si>
  <si>
    <t>JULIANTI</t>
  </si>
  <si>
    <t>SPEAKER</t>
  </si>
  <si>
    <t>LENOVO</t>
  </si>
  <si>
    <t>IDEAPAD 3</t>
  </si>
  <si>
    <t>MF-FP.0119</t>
  </si>
  <si>
    <t>DO.2026.08.00113</t>
  </si>
  <si>
    <t>MR. 081322506843</t>
  </si>
  <si>
    <t>SUPRIYANTO</t>
  </si>
  <si>
    <t>REDMI NOTE 7</t>
  </si>
  <si>
    <t>MF-FP.0113</t>
  </si>
  <si>
    <t>DO.2026.08.00106</t>
  </si>
  <si>
    <t>MR. 08979735699</t>
  </si>
  <si>
    <t>ROFIQ</t>
  </si>
  <si>
    <t>100433</t>
  </si>
  <si>
    <t>LCD RENO 5 4G / 5G / RENO 6 4G / 5G OLED</t>
  </si>
  <si>
    <t>MF-FP.0115</t>
  </si>
  <si>
    <t>DO.2026.08.00109</t>
  </si>
  <si>
    <t>MR. 081219565586</t>
  </si>
  <si>
    <t>EKA</t>
  </si>
  <si>
    <t>A35</t>
  </si>
  <si>
    <t>100435</t>
  </si>
  <si>
    <t>BATERAI SAMSUNG A35 5G / A54 5G / A34 5G / A25 5G / A55 5G EB-BA546ABY</t>
  </si>
  <si>
    <t>MF-FP.0116</t>
  </si>
  <si>
    <t>DO.2026.08.00110</t>
  </si>
  <si>
    <t>MR. 087776209767</t>
  </si>
  <si>
    <t>11 BASIC</t>
  </si>
  <si>
    <t>100436</t>
  </si>
  <si>
    <t>BATERAI IPHONE 11</t>
  </si>
  <si>
    <t>MF-FP.0203</t>
  </si>
  <si>
    <t>DO.2026.08.00114</t>
  </si>
  <si>
    <t>MR. 087871309699</t>
  </si>
  <si>
    <t>ADIT</t>
  </si>
  <si>
    <t>M21</t>
  </si>
  <si>
    <t>100439</t>
  </si>
  <si>
    <t>LCD SAMSUNG M21 / M31 / M30S</t>
  </si>
  <si>
    <t>MF-FP.0126</t>
  </si>
  <si>
    <t>DO.2026.08.00105</t>
  </si>
  <si>
    <t>MR. 082312245298</t>
  </si>
  <si>
    <t>MF-FP.0125</t>
  </si>
  <si>
    <t>DO.2026.08.00119</t>
  </si>
  <si>
    <t>A30s</t>
  </si>
  <si>
    <t>MF-FP.0138</t>
  </si>
  <si>
    <t>DO.2026.08.00124</t>
  </si>
  <si>
    <t>MR. 085716364366</t>
  </si>
  <si>
    <t>SUPERNO</t>
  </si>
  <si>
    <t>Y19S</t>
  </si>
  <si>
    <t>MF-FP.0133</t>
  </si>
  <si>
    <t>DO.2026.08.00125</t>
  </si>
  <si>
    <t>MR. 085219109982</t>
  </si>
  <si>
    <t>EVI</t>
  </si>
  <si>
    <t>MF-FP.0109</t>
  </si>
  <si>
    <t>DO.2026.08.00099</t>
  </si>
  <si>
    <t>MR. 081617757484</t>
  </si>
  <si>
    <t>IRFAN</t>
  </si>
  <si>
    <t>M33</t>
  </si>
  <si>
    <t>100232</t>
  </si>
  <si>
    <t>JS HP FRAME / HOUSING - NORMAL</t>
  </si>
  <si>
    <t>100431</t>
  </si>
  <si>
    <t>LCD ITEL A60S / A60 / P40 / S23 / A70 / TECNO SPAR GO 2023</t>
  </si>
  <si>
    <t>MF-FP.0117</t>
  </si>
  <si>
    <t>DO.2026.08.00112</t>
  </si>
  <si>
    <t>MR. 087787959916</t>
  </si>
  <si>
    <t>SOFTWARE</t>
  </si>
  <si>
    <t>F11</t>
  </si>
  <si>
    <t>MF-FP.0128</t>
  </si>
  <si>
    <t>DO.2026.08.00083</t>
  </si>
  <si>
    <t>MR. 082171937705</t>
  </si>
  <si>
    <t>LUTFHI</t>
  </si>
  <si>
    <t>MACBOOK PRO 2017</t>
  </si>
  <si>
    <t>100248</t>
  </si>
  <si>
    <t>JS LP ALL IC - MATI TOTAL</t>
  </si>
  <si>
    <t>MF-FP.0122</t>
  </si>
  <si>
    <t>DO.2026.08.00117</t>
  </si>
  <si>
    <t>MR. 089644165789</t>
  </si>
  <si>
    <t>ANGGA</t>
  </si>
  <si>
    <t>15</t>
  </si>
  <si>
    <t>MF-FP.0130</t>
  </si>
  <si>
    <t>DO.2026.08.00115</t>
  </si>
  <si>
    <t>MR. 085603561898</t>
  </si>
  <si>
    <t>ANDRIYA</t>
  </si>
  <si>
    <t>A55</t>
  </si>
  <si>
    <t>MF-FP.0132</t>
  </si>
  <si>
    <t>DO.2026.08.00111</t>
  </si>
  <si>
    <t>MR. 081293437782</t>
  </si>
  <si>
    <t>FARHAN</t>
  </si>
  <si>
    <t>A52S</t>
  </si>
  <si>
    <t>100322</t>
  </si>
  <si>
    <t>LCD SAMSUNG A52 + FRAME OLED</t>
  </si>
  <si>
    <t>100430</t>
  </si>
  <si>
    <t>FLEXIBEL ON/OFF OPPO RENO 5 4G / RENO 6 4G</t>
  </si>
  <si>
    <t>100429</t>
  </si>
  <si>
    <t>FLEXIBEL VOLUME OPPO RENO 5 4G / RENO 6 4G</t>
  </si>
  <si>
    <t>100427</t>
  </si>
  <si>
    <t>PERNIK TOMBOL ON/OFF RENO 5 4G / 5G / RENO 6 4G / RENO 5F / RENO 6 5G</t>
  </si>
  <si>
    <t>MF-FP.0123</t>
  </si>
  <si>
    <t>DO.2026.08.00077</t>
  </si>
  <si>
    <t>100428</t>
  </si>
  <si>
    <t>KONEKTOR CHARGER SAMSUNG A07 / A05 / A06 / A14 / A15 / A25</t>
  </si>
  <si>
    <t>100273</t>
  </si>
  <si>
    <t>JS LP SPEAKER - NORMAL</t>
  </si>
  <si>
    <t>100408</t>
  </si>
  <si>
    <t>SPEAKER LAPTOP IDEAPAD SLIM 3 14ADA05 14ARE05 3- 14ALC 14ALC S</t>
  </si>
  <si>
    <t>MF-FP.0112</t>
  </si>
  <si>
    <t>DO.2026.08.00107</t>
  </si>
  <si>
    <t>MR. 089627327612</t>
  </si>
  <si>
    <t>SITI SOLEHA</t>
  </si>
  <si>
    <t>PENJUALAN HP</t>
  </si>
  <si>
    <t>HANDPHONE</t>
  </si>
  <si>
    <t>MOTOROLA</t>
  </si>
  <si>
    <t>MOTOPAD 60 NEO</t>
  </si>
  <si>
    <t>100416</t>
  </si>
  <si>
    <t>LENOVO MOTOPAD 60 NEO ZAGV0005ID 8/256GB + MOTO PEN IN THE BOX</t>
  </si>
  <si>
    <t>MF-FP.0120</t>
  </si>
  <si>
    <t>DO.2026.08.00116</t>
  </si>
  <si>
    <t>IPHONE 11</t>
  </si>
  <si>
    <t>100196</t>
  </si>
  <si>
    <t>LUNA VERMONT RUBY MATERIAL ANTI SPY</t>
  </si>
  <si>
    <t>MF-FP.0121</t>
  </si>
  <si>
    <t>DO.2026.08.00118</t>
  </si>
  <si>
    <t>100160</t>
  </si>
  <si>
    <t>BROOKLYN TEMPERED GLASS IPHONE 15 PRIVACY</t>
  </si>
  <si>
    <t>100434</t>
  </si>
  <si>
    <t>KONEKTOR PCB BOARD SAMSUNG A30 / A21</t>
  </si>
  <si>
    <t>100437</t>
  </si>
  <si>
    <t>LCD REDMI NOTE 7 PRO /  NOTE 7 / NOTE 7S</t>
  </si>
  <si>
    <t>MF-FP.0127</t>
  </si>
  <si>
    <t>DO.2026.08.00120</t>
  </si>
  <si>
    <t>100191</t>
  </si>
  <si>
    <t>LUNA ADAPTOR AJ4Y</t>
  </si>
  <si>
    <t>MF-FP.0134</t>
  </si>
  <si>
    <t>DO.2026.08.00064</t>
  </si>
  <si>
    <t>MR. 085183145933</t>
  </si>
  <si>
    <t>MEISHA</t>
  </si>
  <si>
    <t>KAMERA BELAKANG</t>
  </si>
  <si>
    <t>X</t>
  </si>
  <si>
    <t>100235</t>
  </si>
  <si>
    <t>JS HP KAMERA - NORMAL</t>
  </si>
  <si>
    <t>MF-FP.0135</t>
  </si>
  <si>
    <t>DO.2026.08.00126</t>
  </si>
  <si>
    <t>MR. 081316071328</t>
  </si>
  <si>
    <t>MF-FP.0158</t>
  </si>
  <si>
    <t>DO.2026.08.00108</t>
  </si>
  <si>
    <t>C.00008</t>
  </si>
  <si>
    <t>IRHAM MAULANA</t>
  </si>
  <si>
    <t>EDGE</t>
  </si>
  <si>
    <t>MF-FP.0137</t>
  </si>
  <si>
    <t>DO.2026.08.00133</t>
  </si>
  <si>
    <t>A9+</t>
  </si>
  <si>
    <t>MF-FP.0142</t>
  </si>
  <si>
    <t>DO.2026.08.00136</t>
  </si>
  <si>
    <t>MR. 085715848904</t>
  </si>
  <si>
    <t>BUNDERI</t>
  </si>
  <si>
    <t>HOT 10S</t>
  </si>
  <si>
    <t>MF-FP.0152</t>
  </si>
  <si>
    <t>DO.2026.08.00072</t>
  </si>
  <si>
    <t>100454</t>
  </si>
  <si>
    <t>BATERAI IPHONE XR ORIGINAL</t>
  </si>
  <si>
    <t>MF-FP.0143</t>
  </si>
  <si>
    <t>DO.2026.08.00138</t>
  </si>
  <si>
    <t>MR. 081943213803</t>
  </si>
  <si>
    <t>RIO</t>
  </si>
  <si>
    <t>a74</t>
  </si>
  <si>
    <t>MF-FP.0145</t>
  </si>
  <si>
    <t>DO.2026.08.00140</t>
  </si>
  <si>
    <t>MR. 081389034156</t>
  </si>
  <si>
    <t>ANITA</t>
  </si>
  <si>
    <t>HOT 40 PRO 5G</t>
  </si>
  <si>
    <t>100440</t>
  </si>
  <si>
    <t>LCD SAMSUNG A55 PLUS FRAME ORIGINAL</t>
  </si>
  <si>
    <t>100442</t>
  </si>
  <si>
    <t>BACKDOOR SAMSUNG A55 ICE BLUE ORIGINAL</t>
  </si>
  <si>
    <t>MF-FP.0159</t>
  </si>
  <si>
    <t>DO.2026.08.00098</t>
  </si>
  <si>
    <t>MR. 081366079970</t>
  </si>
  <si>
    <t>SHAFWAH</t>
  </si>
  <si>
    <t>MACBOOK AIR M2 A2681</t>
  </si>
  <si>
    <t>100443</t>
  </si>
  <si>
    <t>LCD MACBOOK AIR M2 2022 13 INCH A2681</t>
  </si>
  <si>
    <t>MF-FP.0139</t>
  </si>
  <si>
    <t>DO.2026.08.00122</t>
  </si>
  <si>
    <t>MR. 085811045056</t>
  </si>
  <si>
    <t>PRIHATIN</t>
  </si>
  <si>
    <t>a33</t>
  </si>
  <si>
    <t>MF-FP.0141</t>
  </si>
  <si>
    <t>DO.2026.07.00020</t>
  </si>
  <si>
    <t>MR. 08770935777</t>
  </si>
  <si>
    <t>CHRISTIAN</t>
  </si>
  <si>
    <t>IPAD 2</t>
  </si>
  <si>
    <t>MF-FP.0144</t>
  </si>
  <si>
    <t>DO.2026.08.00132</t>
  </si>
  <si>
    <t>MR. 081299204448</t>
  </si>
  <si>
    <t>FIKRI</t>
  </si>
  <si>
    <t>NOTE 40</t>
  </si>
  <si>
    <t>100456</t>
  </si>
  <si>
    <t>FLEXIBEL BOARD INFINIX NOTE 40 ORIGINAL</t>
  </si>
  <si>
    <t>100457</t>
  </si>
  <si>
    <t>FLEXIBEL ON/OFF INFINIX NOTE 40</t>
  </si>
  <si>
    <t>100458</t>
  </si>
  <si>
    <t>PERNIK TOMBOL INFINIX NOTE 40 ORIGINAL</t>
  </si>
  <si>
    <t>100461</t>
  </si>
  <si>
    <t>FLEXIBEL BOARD SAMSUNG A33</t>
  </si>
  <si>
    <t>100323</t>
  </si>
  <si>
    <t>BATERAI IPAD 2</t>
  </si>
  <si>
    <t>MF-FP.0148</t>
  </si>
  <si>
    <t>DO.2026.08.00134</t>
  </si>
  <si>
    <t>MR. 081210761517</t>
  </si>
  <si>
    <t>DIKI</t>
  </si>
  <si>
    <t>A13</t>
  </si>
  <si>
    <t>100445</t>
  </si>
  <si>
    <t>LCD VIVO Y19S / Y28 4G / Y38 4G / 5G / Y 29 4G / 5G / Y37 PRO</t>
  </si>
  <si>
    <t>100446</t>
  </si>
  <si>
    <t>KONEKTOR CHARGER IPHONE 11</t>
  </si>
  <si>
    <t>MF-FP.0140</t>
  </si>
  <si>
    <t>DO.2026.08.00128</t>
  </si>
  <si>
    <t>MR. 081292618160</t>
  </si>
  <si>
    <t>NAUFAL</t>
  </si>
  <si>
    <t>C55</t>
  </si>
  <si>
    <t>100451</t>
  </si>
  <si>
    <t>IC SAMSUNG M2 SM5713</t>
  </si>
  <si>
    <t>MF-FP.0177</t>
  </si>
  <si>
    <t>DO.2026.08.00130</t>
  </si>
  <si>
    <t>REDMI NOTE 8</t>
  </si>
  <si>
    <t>100460</t>
  </si>
  <si>
    <t>FLEXIBEL ON/OFF REDMI NOTE 8</t>
  </si>
  <si>
    <t>100462</t>
  </si>
  <si>
    <t>LCD SAMSUNG A13 / A23 4G / M13 4G / F13 / M23 5G / M33 5G</t>
  </si>
  <si>
    <t>100463</t>
  </si>
  <si>
    <t>LCD INFINIX HOT 10S / HOT 10T / SMART 6 PLUS / TECNO SPARK 7P</t>
  </si>
  <si>
    <t>MF-FP.0146</t>
  </si>
  <si>
    <t>DO.2026.08.00139</t>
  </si>
  <si>
    <t>MR. 081381776104</t>
  </si>
  <si>
    <t>RAMLI</t>
  </si>
  <si>
    <t>MF-FP.0147</t>
  </si>
  <si>
    <t>DO.2026.08.00141</t>
  </si>
  <si>
    <t>MR. 089637399577</t>
  </si>
  <si>
    <t>AMAR</t>
  </si>
  <si>
    <t>S23 ULTRA</t>
  </si>
  <si>
    <t>MF-FP.0149</t>
  </si>
  <si>
    <t>DO.2026.08.00142</t>
  </si>
  <si>
    <t>MR. 085893066977</t>
  </si>
  <si>
    <t>Y12 S</t>
  </si>
  <si>
    <t>100466</t>
  </si>
  <si>
    <t>BATERAI OPPO A74 / A95 4G / F19 / RENO 6 LITE</t>
  </si>
  <si>
    <t>100467</t>
  </si>
  <si>
    <t>LCD INFINIX HOT 40 PRO / HOT 40 / HOT 40X / TECNO SPARK 20 PRO</t>
  </si>
  <si>
    <t>MF-FP.0150</t>
  </si>
  <si>
    <t>DO.2026.08.00144</t>
  </si>
  <si>
    <t>MR. 083160889131</t>
  </si>
  <si>
    <t>MF-FP.0153</t>
  </si>
  <si>
    <t>DO.2026.08.00146</t>
  </si>
  <si>
    <t>MR. 085774385479</t>
  </si>
  <si>
    <t>HOT 50 PRO</t>
  </si>
  <si>
    <t>MF-FP.0160</t>
  </si>
  <si>
    <t>DO.2026.08.00150</t>
  </si>
  <si>
    <t>100092</t>
  </si>
  <si>
    <t>SAMSUNG GALAXY A07 4G 4/128GB</t>
  </si>
  <si>
    <t>100448</t>
  </si>
  <si>
    <t>LCD OPPO A58 / A98 5G / F23 5G / C55 / C67 5G</t>
  </si>
  <si>
    <t>MF-FP.0162</t>
  </si>
  <si>
    <t>DO.2026.08.00154</t>
  </si>
  <si>
    <t>MR. 08158092608</t>
  </si>
  <si>
    <t>ARIS</t>
  </si>
  <si>
    <t>100477</t>
  </si>
  <si>
    <t>BATERAI SAMSUNG A72 / A32 5G / A42 5G / M22 / M32 5G</t>
  </si>
  <si>
    <t>MF-FP.0165</t>
  </si>
  <si>
    <t>DO.2026.08.00158</t>
  </si>
  <si>
    <t>MR. 085211284040</t>
  </si>
  <si>
    <t>ASPIRE LITE 15</t>
  </si>
  <si>
    <t>MF-FP.0167</t>
  </si>
  <si>
    <t>DO.2026.08.00161</t>
  </si>
  <si>
    <t>MR. 089634548874</t>
  </si>
  <si>
    <t>ELOM</t>
  </si>
  <si>
    <t>MF-FP.0172</t>
  </si>
  <si>
    <t>DO.2026.08.00165</t>
  </si>
  <si>
    <t>FLEXIBEL BOARD (JALUR)</t>
  </si>
  <si>
    <t>MF-FP.0173</t>
  </si>
  <si>
    <t>DO.2026.08.00168</t>
  </si>
  <si>
    <t>MR. 08569956833</t>
  </si>
  <si>
    <t>INRIANI</t>
  </si>
  <si>
    <t>reno 6</t>
  </si>
  <si>
    <t>MF-FP.0175</t>
  </si>
  <si>
    <t>DO.2026.08.00152</t>
  </si>
  <si>
    <t>MR. 08129896474</t>
  </si>
  <si>
    <t>DONI</t>
  </si>
  <si>
    <t>S9 FE</t>
  </si>
  <si>
    <t>MF-FP.0178</t>
  </si>
  <si>
    <t>DO.2026.08.00172</t>
  </si>
  <si>
    <t>MR. 085693517649</t>
  </si>
  <si>
    <t>IPHONE 11 PRO</t>
  </si>
  <si>
    <t>MF-FP.0181</t>
  </si>
  <si>
    <t>DO.2026.08.00159</t>
  </si>
  <si>
    <t>MR. 081319984631</t>
  </si>
  <si>
    <t>FEBI</t>
  </si>
  <si>
    <t>MF-FP.0189</t>
  </si>
  <si>
    <t>DO.2026.08.00177</t>
  </si>
  <si>
    <t>MR. 082113290853</t>
  </si>
  <si>
    <t>HANIF NUR ADMIN MANTAP</t>
  </si>
  <si>
    <t>100109</t>
  </si>
  <si>
    <t>NYK COOLING PAD GAMING RGB + THERMO X11 NC NX11</t>
  </si>
  <si>
    <t>MF-FP.0188</t>
  </si>
  <si>
    <t>DO.2026.08.00181</t>
  </si>
  <si>
    <t>MR. 081287737353</t>
  </si>
  <si>
    <t>ANDRI</t>
  </si>
  <si>
    <t>MOUSE</t>
  </si>
  <si>
    <t>100111</t>
  </si>
  <si>
    <t>NYK MOUSE WIRELESS DUAL MODE BT &amp; WRLS SUPREME C60 WHITE GREY MSW NC60WGR</t>
  </si>
  <si>
    <t>MF-FP.0230</t>
  </si>
  <si>
    <t>DO.2026.08.00178</t>
  </si>
  <si>
    <t>MR. 08997424072</t>
  </si>
  <si>
    <t>DEA ATIKA</t>
  </si>
  <si>
    <t>ZFLIP 5</t>
  </si>
  <si>
    <t>100494</t>
  </si>
  <si>
    <t>BATERAI SAMSUNG Z FLIP 5 1 SETT ORIGINAL</t>
  </si>
  <si>
    <t>MF-FP.0196</t>
  </si>
  <si>
    <t>DO.2026.08.00162</t>
  </si>
  <si>
    <t>MR, 081932196450</t>
  </si>
  <si>
    <t>ENDAH</t>
  </si>
  <si>
    <t>P30 PRO</t>
  </si>
  <si>
    <t>100497</t>
  </si>
  <si>
    <t>BATERAI HUAWEI P30 PRO / MATE 20 PRO</t>
  </si>
  <si>
    <t>MF-FP.0190</t>
  </si>
  <si>
    <t>DO.2026.08.00182</t>
  </si>
  <si>
    <t>MR. 085956333318</t>
  </si>
  <si>
    <t>ZAID</t>
  </si>
  <si>
    <t>HOT 60i</t>
  </si>
  <si>
    <t>100447</t>
  </si>
  <si>
    <t>VIVAN VSP04T - 2 PRO PRIVACY DAN CRYSTAL CLEAR FRONT FILM</t>
  </si>
  <si>
    <t>MF-FP.0191</t>
  </si>
  <si>
    <t>DO.2026.08.00183</t>
  </si>
  <si>
    <t>MR. 082113050997</t>
  </si>
  <si>
    <t>100503</t>
  </si>
  <si>
    <t>LCD VIVO Y12 / Y11 / Y12I / Y15 / Y17 / Y3</t>
  </si>
  <si>
    <t>MF-FP.0192</t>
  </si>
  <si>
    <t>DO.2026.08.00187</t>
  </si>
  <si>
    <t>9A</t>
  </si>
  <si>
    <t>100504</t>
  </si>
  <si>
    <t>KONEKTOR CHARGER XIAOMI REDMI 9A / 9C / 10A / 12C / A1 / A2</t>
  </si>
  <si>
    <t>MF-FP.0194</t>
  </si>
  <si>
    <t>DO.2026.08.00036</t>
  </si>
  <si>
    <t>REDMI NOTE 13 PRO</t>
  </si>
  <si>
    <t>MF-FP.0197</t>
  </si>
  <si>
    <t>DO.2026.08.00190</t>
  </si>
  <si>
    <t>MR. 083835337742</t>
  </si>
  <si>
    <t>ALAN</t>
  </si>
  <si>
    <t>REDMI NOTE 9</t>
  </si>
  <si>
    <t>MF-FP.0201</t>
  </si>
  <si>
    <t>DO.2026.08.00167</t>
  </si>
  <si>
    <t>100242</t>
  </si>
  <si>
    <t>JS HP SPEAKER - NORMAL</t>
  </si>
  <si>
    <t>100233</t>
  </si>
  <si>
    <t>JS HP GANTI MESIN - NORMAL</t>
  </si>
  <si>
    <t>100465</t>
  </si>
  <si>
    <t>KACA KAMERA VIVO Y12S</t>
  </si>
  <si>
    <t>100262</t>
  </si>
  <si>
    <t>JS LP LCD - INTERFACE</t>
  </si>
  <si>
    <t>100470</t>
  </si>
  <si>
    <t>KONEKTOR CHARGER SAMSUNG M21 / M30S / M31</t>
  </si>
  <si>
    <t>MF-FP.0155</t>
  </si>
  <si>
    <t>DO.2026.08.00145</t>
  </si>
  <si>
    <t>MR. 082238669520</t>
  </si>
  <si>
    <t>ADI</t>
  </si>
  <si>
    <t>A37</t>
  </si>
  <si>
    <t>100472</t>
  </si>
  <si>
    <t>BATERAI OPPO A37 / A37F / NEO 9</t>
  </si>
  <si>
    <t>100474</t>
  </si>
  <si>
    <t>KONEKTOR CHARGER OPPO A37 / A33 / NEO 7 / A39 / A57 / F1</t>
  </si>
  <si>
    <t>100471</t>
  </si>
  <si>
    <t>LCD OPPO A37 / A37F / NEO 9</t>
  </si>
  <si>
    <t>100473</t>
  </si>
  <si>
    <t>FLEXIBEL ON/OFF A37 / 37F/ A37W / NEO 9</t>
  </si>
  <si>
    <t>100476</t>
  </si>
  <si>
    <t>PERNIK TOMBOL LUAR A37 / A37F / A37W / NEO 9</t>
  </si>
  <si>
    <t>MF-FP.0161</t>
  </si>
  <si>
    <t>DO.2026.08.00151</t>
  </si>
  <si>
    <t>12T</t>
  </si>
  <si>
    <t>MF-FP.0163</t>
  </si>
  <si>
    <t>DO.2026.08.00155</t>
  </si>
  <si>
    <t>MOUSE PAD &amp; EARPHONE</t>
  </si>
  <si>
    <t>100110</t>
  </si>
  <si>
    <t>NYK MOUSEPAD GAMING LEBAR HUNTER MP GH</t>
  </si>
  <si>
    <t>100321</t>
  </si>
  <si>
    <t>KACA KAMERA INFINIX X697/NOTE 11 PRO</t>
  </si>
  <si>
    <t>100384</t>
  </si>
  <si>
    <t>FLEX ON/OFF + VOLUME IPHONE 13</t>
  </si>
  <si>
    <t>100393</t>
  </si>
  <si>
    <t>IC POWER PM7150 102 POCO X3 / REDMI NOTE 10 PRO</t>
  </si>
  <si>
    <t>100407</t>
  </si>
  <si>
    <t>MAGNET KECIL KAMERA IPHONE 13</t>
  </si>
  <si>
    <t>MF-FP.0170</t>
  </si>
  <si>
    <t>DO.2026.08.00163</t>
  </si>
  <si>
    <t>100482</t>
  </si>
  <si>
    <t>LCD TAB SAMSUNG TAB S9 FE 10.9 / X510 / X516B</t>
  </si>
  <si>
    <t>100485</t>
  </si>
  <si>
    <t>BATERAI SAMSUNG A50 / A20 / A30 / A30S / A50S</t>
  </si>
  <si>
    <t>100487</t>
  </si>
  <si>
    <t>FLEXIBEL BOARD SAMSUNG A32 4G / A22 4G</t>
  </si>
  <si>
    <t>100488</t>
  </si>
  <si>
    <t>LCD OPPO RENO 6  4G / RENO 5 4G</t>
  </si>
  <si>
    <t>MF-FP.0174</t>
  </si>
  <si>
    <t>DO.2026.08.00169</t>
  </si>
  <si>
    <t>MEMBER OJOL</t>
  </si>
  <si>
    <t>MR KUOTA OJOL 1 . 085283524977</t>
  </si>
  <si>
    <t>AFRIZON</t>
  </si>
  <si>
    <t>MF-FP.0171</t>
  </si>
  <si>
    <t>DO.2026.08.00164</t>
  </si>
  <si>
    <t>HOT 50 PRO PLUS</t>
  </si>
  <si>
    <t>100475</t>
  </si>
  <si>
    <t>LCD INFINIX HOT 50 PRO PLUS / NOTE 40 PRO / NOTE 40PRO PLUS / ZERO 40 / ITEL S25 ULTRA / SPARK 20 PRO PLUS</t>
  </si>
  <si>
    <t>MF-FP.0176</t>
  </si>
  <si>
    <t>DO.2026.08.00156</t>
  </si>
  <si>
    <t>A72 5G</t>
  </si>
  <si>
    <t>MF-FP.0180</t>
  </si>
  <si>
    <t>DO.2026.08.00175</t>
  </si>
  <si>
    <t>MR. 087748748220</t>
  </si>
  <si>
    <t>RIAN</t>
  </si>
  <si>
    <t>Z FOLD 3</t>
  </si>
  <si>
    <t>MF-FP.0185</t>
  </si>
  <si>
    <t>DO.2026.08.00166</t>
  </si>
  <si>
    <t>MR. 081574481508</t>
  </si>
  <si>
    <t>RIZKY</t>
  </si>
  <si>
    <t>MESIN</t>
  </si>
  <si>
    <t>MI 13 T</t>
  </si>
  <si>
    <t>MF-FP.0186</t>
  </si>
  <si>
    <t>DO.2026.08.00179</t>
  </si>
  <si>
    <t>MR. 08889618454</t>
  </si>
  <si>
    <t>12</t>
  </si>
  <si>
    <t>MF-FP.0154</t>
  </si>
  <si>
    <t>DO.2026.08.00148</t>
  </si>
  <si>
    <t>GAMEN GAMING KYBRD</t>
  </si>
  <si>
    <t>100290</t>
  </si>
  <si>
    <t>GAMEN GAMING KEYBOARD GK210 BLUE</t>
  </si>
  <si>
    <t>MF-FP.0156</t>
  </si>
  <si>
    <t>DO.2026.08.00149</t>
  </si>
  <si>
    <t>UFONE DATA CABLE MICRO</t>
  </si>
  <si>
    <t>100028</t>
  </si>
  <si>
    <t>UFONE CB02-M 2.4A MICRO DATA CABLE GREEN</t>
  </si>
  <si>
    <t>MF-FP.0157</t>
  </si>
  <si>
    <t>DO.2026.08.00129</t>
  </si>
  <si>
    <t>MR. 085697194281</t>
  </si>
  <si>
    <t>YUDI</t>
  </si>
  <si>
    <t>macbook</t>
  </si>
  <si>
    <t>100272</t>
  </si>
  <si>
    <t>JS LP SOFTWARE - INTERFACE</t>
  </si>
  <si>
    <t>100469</t>
  </si>
  <si>
    <t>KABEL ANTENA  SAMSUNG M21</t>
  </si>
  <si>
    <t>100391</t>
  </si>
  <si>
    <t>LENSA KAMERA BLKNG XIAOMI REDMI NOTE 11 PRO 4G / 5G</t>
  </si>
  <si>
    <t>100418</t>
  </si>
  <si>
    <t>FLEXIBEL CHARGER REALME NARZO 20 TYPE-C</t>
  </si>
  <si>
    <t>MF-FP.0202</t>
  </si>
  <si>
    <t>DO.2026.08.00160</t>
  </si>
  <si>
    <t>MR. 082112178417</t>
  </si>
  <si>
    <t>MIA</t>
  </si>
  <si>
    <t>M62</t>
  </si>
  <si>
    <t>100481</t>
  </si>
  <si>
    <t>LCD SAMSUNG M62 / M51 / F62 / A71</t>
  </si>
  <si>
    <t>100483</t>
  </si>
  <si>
    <t>KABEL ANTENA INFINIX NOTE 40 PRO 16CM</t>
  </si>
  <si>
    <t>MF-FP.0179</t>
  </si>
  <si>
    <t>DO.2026.08.00174</t>
  </si>
  <si>
    <t>MR. 085794869588</t>
  </si>
  <si>
    <t>RITA</t>
  </si>
  <si>
    <t>MF-FP.0184</t>
  </si>
  <si>
    <t>DO.2026.08.00173</t>
  </si>
  <si>
    <t>Z FLIP 5</t>
  </si>
  <si>
    <t>MF-FP.0187</t>
  </si>
  <si>
    <t>DO.2026.08.00180</t>
  </si>
  <si>
    <t>IP12</t>
  </si>
  <si>
    <t>100070</t>
  </si>
  <si>
    <t>SPOTLITE TEMPERED GLASS SPY IPHONE 12</t>
  </si>
  <si>
    <t>MF-FP.0193</t>
  </si>
  <si>
    <t>DO.2026.08.00188</t>
  </si>
  <si>
    <t>MR. 085171060643</t>
  </si>
  <si>
    <t>AGIL</t>
  </si>
  <si>
    <t>IPHONE 12</t>
  </si>
  <si>
    <t>100505</t>
  </si>
  <si>
    <t>BATERAI IPHONE 12</t>
  </si>
  <si>
    <t>MF-FP.0198</t>
  </si>
  <si>
    <t>DO.2026.08.00192</t>
  </si>
  <si>
    <t>mr. 082120322760</t>
  </si>
  <si>
    <t>100495</t>
  </si>
  <si>
    <t>LCD IPHONE 11 PRO</t>
  </si>
  <si>
    <t>100498</t>
  </si>
  <si>
    <t>LCD IPHONE 12 OLED</t>
  </si>
  <si>
    <t>100502</t>
  </si>
  <si>
    <t>LCD INFINIX HOT 60I / TECNO SPARK GO 2 / TECNO SPARK 40 / TECNO SPARK 40C</t>
  </si>
  <si>
    <t>MF-FP.0204</t>
  </si>
  <si>
    <t>DO.2026.08.00189</t>
  </si>
  <si>
    <t>MR. 081283506065</t>
  </si>
  <si>
    <t>FIRMANSYAH</t>
  </si>
  <si>
    <t>A18</t>
  </si>
  <si>
    <t>MF-FP.0199</t>
  </si>
  <si>
    <t>DO.2026.08.00193</t>
  </si>
  <si>
    <t>MR. 085779205476</t>
  </si>
  <si>
    <t>JESI</t>
  </si>
  <si>
    <t>100500</t>
  </si>
  <si>
    <t>KAMERA BELAKANG IPHONE 11 ORIGINAL</t>
  </si>
  <si>
    <t>MF-FP.0200</t>
  </si>
  <si>
    <t>DO.2026.08.00194</t>
  </si>
  <si>
    <t>MIC</t>
  </si>
  <si>
    <t>100490</t>
  </si>
  <si>
    <t>FLEXIBEL SPEAKER ATAS IPHONE XSMAX</t>
  </si>
  <si>
    <t>100484</t>
  </si>
  <si>
    <t>PLAT SENG + BAUT IPHONE XSMAX FULLSET</t>
  </si>
  <si>
    <t>MF-FP.0206</t>
  </si>
  <si>
    <t>DO.2026.08.00197</t>
  </si>
  <si>
    <t>MR. 085213266584</t>
  </si>
  <si>
    <t>IRSYA</t>
  </si>
  <si>
    <t>MF-FP.0208</t>
  </si>
  <si>
    <t>DO.2026.08.00203</t>
  </si>
  <si>
    <t>MR. 088888668080</t>
  </si>
  <si>
    <t>IPHONE 11 PRO MAX</t>
  </si>
  <si>
    <t>100516</t>
  </si>
  <si>
    <t>LCD REDMI NOTE 9 / 10X 4G</t>
  </si>
  <si>
    <t>100486</t>
  </si>
  <si>
    <t>KONEKTOR CHARGER IPHONE XR</t>
  </si>
  <si>
    <t>MF-FP.0205</t>
  </si>
  <si>
    <t>DO.2026.08.00196</t>
  </si>
  <si>
    <t>mr. 081387681373</t>
  </si>
  <si>
    <t>DENIS</t>
  </si>
  <si>
    <t>a31</t>
  </si>
  <si>
    <t>MF-FP.0207</t>
  </si>
  <si>
    <t>DO.2026.08.00186</t>
  </si>
  <si>
    <t>MR. 089506360027</t>
  </si>
  <si>
    <t>KIKI</t>
  </si>
  <si>
    <t>RENO 8</t>
  </si>
  <si>
    <t>MF-FP.0219</t>
  </si>
  <si>
    <t>DO.2026.08.00200</t>
  </si>
  <si>
    <t>100518</t>
  </si>
  <si>
    <t>FRAME BEZEL SAMSUNG A72</t>
  </si>
  <si>
    <t>100519</t>
  </si>
  <si>
    <t>LCD OPPO A31 / A5 2020 / A9 2020 / A8 / A11 / A11X / REALME 5 / REALME 5I / REALME 5S / REALME C3</t>
  </si>
  <si>
    <t>MF-FP.0209</t>
  </si>
  <si>
    <t>DO.2026.08.00205</t>
  </si>
  <si>
    <t>MR. 081296581962</t>
  </si>
  <si>
    <t>WIDI</t>
  </si>
  <si>
    <t>Y93</t>
  </si>
  <si>
    <t>100522</t>
  </si>
  <si>
    <t>LCD VIVO Y93 / Y91 / Y95 / Y91I / Y91S / Y91C / Y93C / Y93S / Y91S / U1</t>
  </si>
  <si>
    <t>ANELKA</t>
  </si>
  <si>
    <t>MF-FP.0214</t>
  </si>
  <si>
    <t>DO.2026.08.00210</t>
  </si>
  <si>
    <t>MR. 0895339050261</t>
  </si>
  <si>
    <t>ZIDAN</t>
  </si>
  <si>
    <t>ROG</t>
  </si>
  <si>
    <t>MF-FP.0215</t>
  </si>
  <si>
    <t>DO.2026.08.00211</t>
  </si>
  <si>
    <t>MR. 089673400654</t>
  </si>
  <si>
    <t>ROBOT WIRELEES MOUSE</t>
  </si>
  <si>
    <t>100307</t>
  </si>
  <si>
    <t>ROBOT WIRELESS MOUSE M366 BLACK</t>
  </si>
  <si>
    <t>MF-FP.0216</t>
  </si>
  <si>
    <t>DO.2026.08.00212</t>
  </si>
  <si>
    <t>MR. 085319760069</t>
  </si>
  <si>
    <t>DANTI</t>
  </si>
  <si>
    <t>A9</t>
  </si>
  <si>
    <t>100515</t>
  </si>
  <si>
    <t>JS HP NON SPAREPART - NORMAL</t>
  </si>
  <si>
    <t>MF-FP.0218</t>
  </si>
  <si>
    <t>DO.2026.08.00215</t>
  </si>
  <si>
    <t>MR. 087780819021</t>
  </si>
  <si>
    <t>WAHYU</t>
  </si>
  <si>
    <t>100480</t>
  </si>
  <si>
    <t>PERNIK TOMBOL LUAR SAMSUNG A52 4G / 5G / A52S 5G / A72 4G / 5G</t>
  </si>
  <si>
    <t>MF-FP.0221</t>
  </si>
  <si>
    <t>DO.2026.08.00218</t>
  </si>
  <si>
    <t>MR. 081361487900</t>
  </si>
  <si>
    <t>MANDA</t>
  </si>
  <si>
    <t>MF-FP.0222</t>
  </si>
  <si>
    <t>DO.2026.08.00219</t>
  </si>
  <si>
    <t>MR. 088224019636</t>
  </si>
  <si>
    <t>AHMAD FAUZI</t>
  </si>
  <si>
    <t>100151</t>
  </si>
  <si>
    <t>BROOKLYN TEMPERED GLASS IPHONE 17 PROMAX VER2</t>
  </si>
  <si>
    <t>MF-FP.0220</t>
  </si>
  <si>
    <t>DO.2026.08.00217</t>
  </si>
  <si>
    <t>RENO 8T</t>
  </si>
  <si>
    <t>100525</t>
  </si>
  <si>
    <t>PERNIK TOMBOL LUAR ON/OFF RENO 8T</t>
  </si>
  <si>
    <t>MF-FP.0217</t>
  </si>
  <si>
    <t>DO.2026.08.00213</t>
  </si>
  <si>
    <t>MR. 081290534631</t>
  </si>
  <si>
    <t>DITO</t>
  </si>
  <si>
    <t>100528</t>
  </si>
  <si>
    <t>BATERAI SAMSUNG S22</t>
  </si>
  <si>
    <t>MF-FP.0228</t>
  </si>
  <si>
    <t>DO.2026.08.00216</t>
  </si>
  <si>
    <t>MR. 085694447128</t>
  </si>
  <si>
    <t>SMART 8</t>
  </si>
  <si>
    <t>100529</t>
  </si>
  <si>
    <t>BATERAI INFINIX SMART 8</t>
  </si>
  <si>
    <t>MF-FP.0229</t>
  </si>
  <si>
    <t>DO.2026.08.00199</t>
  </si>
  <si>
    <t>MR. 089510125611</t>
  </si>
  <si>
    <t>ILHAM</t>
  </si>
  <si>
    <t>MF-FP.0210</t>
  </si>
  <si>
    <t>DO.2026.08.00191</t>
  </si>
  <si>
    <t>MR. 081296119393</t>
  </si>
  <si>
    <t>RAFAEL</t>
  </si>
  <si>
    <t>MACBOOK AIR</t>
  </si>
  <si>
    <t>100523</t>
  </si>
  <si>
    <t>FLEXIBEL ON/OFF VIVO Y93 / Y91 / Y95 / Y91C / Y1S</t>
  </si>
  <si>
    <t>MF-FP.0211</t>
  </si>
  <si>
    <t>DO.2026.08.00207</t>
  </si>
  <si>
    <t>HP</t>
  </si>
  <si>
    <t>MF-FP.0213</t>
  </si>
  <si>
    <t>DO.2026.08.00209</t>
  </si>
  <si>
    <t>MR. 089639409940</t>
  </si>
  <si>
    <t>MUSLIM</t>
  </si>
  <si>
    <t>A77S</t>
  </si>
  <si>
    <t>100527</t>
  </si>
  <si>
    <t>LCD OPPO A77S / A77 4 / 5G / A57 2022 / A17 / A17K / A18 / A38</t>
  </si>
  <si>
    <t>MF-FP.0224</t>
  </si>
  <si>
    <t>DO.2026.08.00221</t>
  </si>
  <si>
    <t>MR. 085890700497</t>
  </si>
  <si>
    <t>BAGAS</t>
  </si>
  <si>
    <t>100097</t>
  </si>
  <si>
    <t>NYK CONVERTER CABLE VGA + AUDIO TO HDMI CC VAH</t>
  </si>
  <si>
    <t>MF-FP.0226</t>
  </si>
  <si>
    <t>DO.2026.08.00224</t>
  </si>
  <si>
    <t>MR. 085692594988</t>
  </si>
  <si>
    <t>100517</t>
  </si>
  <si>
    <t>LCD OPPO RENO 8Z / RENO 7Z 5G / A95 4G / A74 4G / A94</t>
  </si>
  <si>
    <t>100520</t>
  </si>
  <si>
    <t>LCD IPHONE 11</t>
  </si>
  <si>
    <t>100521</t>
  </si>
  <si>
    <t>LCD IPHONE 11 PROMAX</t>
  </si>
  <si>
    <t>MF-FP.0212</t>
  </si>
  <si>
    <t>DO.2026.08.00208</t>
  </si>
  <si>
    <t>MR. 081311432180</t>
  </si>
  <si>
    <t>NOVI</t>
  </si>
  <si>
    <t>IPHONE 7 PLUS</t>
  </si>
  <si>
    <t>100526</t>
  </si>
  <si>
    <t>BATERAI IPHONE 7 PLUS</t>
  </si>
  <si>
    <t>100392</t>
  </si>
  <si>
    <t>BEZEL / FRAME / REDMI NOTE 14 PRO 5G</t>
  </si>
  <si>
    <t>MF-FP.0225</t>
  </si>
  <si>
    <t>DO.2026.08.00223</t>
  </si>
  <si>
    <t>MR. 082211367868</t>
  </si>
  <si>
    <t>BOY</t>
  </si>
  <si>
    <t>MF-FP.0227</t>
  </si>
  <si>
    <t>DO.2026.08.00220</t>
  </si>
  <si>
    <t>MR. 0895372917668</t>
  </si>
  <si>
    <t>AULIA</t>
  </si>
  <si>
    <t>YOGA X390</t>
  </si>
  <si>
    <t>100283</t>
  </si>
  <si>
    <t>ROBOT WIRED EARPHONE REC10E BLACK</t>
  </si>
  <si>
    <t>MF-FP.0231</t>
  </si>
  <si>
    <t>DO.2026.08.00226</t>
  </si>
  <si>
    <t>MR. 081233334812</t>
  </si>
  <si>
    <t>YOGI</t>
  </si>
  <si>
    <t>IPHONE 15 PRO</t>
  </si>
  <si>
    <t>100145</t>
  </si>
  <si>
    <t>BROOKLYN TEMPERED GLASS IPHONE 15 PRO VER2</t>
  </si>
  <si>
    <t>MF-FP.0232</t>
  </si>
  <si>
    <t>DO.2026.08.00227</t>
  </si>
  <si>
    <t>MR. 085792325474</t>
  </si>
  <si>
    <t>TORO</t>
  </si>
  <si>
    <t>MF-FP.0233</t>
  </si>
  <si>
    <t>DO.2026.08.00228</t>
  </si>
  <si>
    <t>MR. 085890912066</t>
  </si>
  <si>
    <t>100022</t>
  </si>
  <si>
    <t>DATA CABLE BL005 (3A) BLACK</t>
  </si>
  <si>
    <t>MF-FP.0236</t>
  </si>
  <si>
    <t>DO.2026.08.00236</t>
  </si>
  <si>
    <t>MR. 082210845539</t>
  </si>
  <si>
    <t>RETNO</t>
  </si>
  <si>
    <t>A21S</t>
  </si>
  <si>
    <t>MF-FP.0234</t>
  </si>
  <si>
    <t>DO.2026.08.00232</t>
  </si>
  <si>
    <t>MR. 085647082030</t>
  </si>
  <si>
    <t>INKO</t>
  </si>
  <si>
    <t>MF-FP.0235</t>
  </si>
  <si>
    <t>DO.2026.08.00234</t>
  </si>
  <si>
    <t>MR. 081586082112</t>
  </si>
  <si>
    <t>HENDRA</t>
  </si>
  <si>
    <t>IPHONE 14 PRO</t>
  </si>
  <si>
    <t>100158</t>
  </si>
  <si>
    <t>BROOKLYN TEMPERED GLASS IPHONE 14 PRO PRIVACY</t>
  </si>
  <si>
    <t>MF-FP.0237</t>
  </si>
  <si>
    <t>DO.2026.08.00229</t>
  </si>
  <si>
    <t>MR. 085156806976</t>
  </si>
  <si>
    <t>FAQIH</t>
  </si>
  <si>
    <t>MF-FP.0238</t>
  </si>
  <si>
    <t>OV - MF-FP.0176</t>
  </si>
  <si>
    <t>a72</t>
  </si>
  <si>
    <t>100479</t>
  </si>
  <si>
    <t>BACKDOOR SAMSUNG A72 4G / A72 5G</t>
  </si>
  <si>
    <t>MF-FP.0240</t>
  </si>
  <si>
    <t>DO.2026.08.00239</t>
  </si>
  <si>
    <t>MR.  085880850826</t>
  </si>
  <si>
    <t>DIDO</t>
  </si>
  <si>
    <t>MF-FP.0239</t>
  </si>
  <si>
    <t>DO.2026.08.00238</t>
  </si>
  <si>
    <t>MR. 085742188085</t>
  </si>
  <si>
    <t>17 PRO</t>
  </si>
  <si>
    <t>100051</t>
  </si>
  <si>
    <t>SPOTLITE TEMPERED GLASS CRYSTAL IPHONE 17 PRO</t>
  </si>
  <si>
    <t>100538</t>
  </si>
  <si>
    <t>LCD INFINIX HOT 10 PLAY / HOT 11 PLAY / ITEL VISION 2 PLUS / ITEL P37 PRO / TECNO POVA NEO / TECNO SPARK 7</t>
  </si>
  <si>
    <t>100532</t>
  </si>
  <si>
    <t>FLEXIBEL ON/OFF + VOLUME REDMI NOTE 13 PRO 4G / 5G / POCO X6 5G</t>
  </si>
  <si>
    <t>100533</t>
  </si>
  <si>
    <t>LCD SAMSUNG A21S / A21</t>
  </si>
  <si>
    <t>100535</t>
  </si>
  <si>
    <t>PERNIK TOMBOL LUAR SAMSUNG A21S / A21</t>
  </si>
  <si>
    <t>100459</t>
  </si>
  <si>
    <t>BATERAI MI 12T / MI 12T PRO</t>
  </si>
  <si>
    <t>MF-FP.0182</t>
  </si>
  <si>
    <t>MR. 081218010146</t>
  </si>
  <si>
    <t>100390</t>
  </si>
  <si>
    <t>BACKGLASS SAMSUNG S22 ULTRA BLACK</t>
  </si>
  <si>
    <t>100349</t>
  </si>
  <si>
    <t>KONEKTOR CHARGER INFINIX HOT 11 PLAY</t>
  </si>
  <si>
    <t>100345</t>
  </si>
  <si>
    <t>LCD REDMI S2</t>
  </si>
  <si>
    <t>MF-FP.0019</t>
  </si>
  <si>
    <t>MR. 081282318858</t>
  </si>
  <si>
    <t>atiek</t>
  </si>
  <si>
    <t>100335</t>
  </si>
  <si>
    <t>LCD IPHONE 8 PLUS</t>
  </si>
  <si>
    <t>100333</t>
  </si>
  <si>
    <t>LCD SAMSUNG A12S</t>
  </si>
  <si>
    <t>100327</t>
  </si>
  <si>
    <t>LCD OPPO A57</t>
  </si>
  <si>
    <t>100326</t>
  </si>
  <si>
    <t>LCD REDMI 8A</t>
  </si>
  <si>
    <t>MF-FP.0025</t>
  </si>
  <si>
    <t>MR. 081210496138</t>
  </si>
  <si>
    <t>AMIR</t>
  </si>
  <si>
    <t>100034</t>
  </si>
  <si>
    <t>U1ME PC0733 POWER GOLD PD 33W GOLDY GLASS CHARGER ROSE GOLD</t>
  </si>
  <si>
    <t>100346</t>
  </si>
  <si>
    <t>LCD SAMSUNG A23</t>
  </si>
  <si>
    <t>MF-FP.0022</t>
  </si>
  <si>
    <t>MR. 08979138199</t>
  </si>
  <si>
    <t>BIMA</t>
  </si>
  <si>
    <t>100334</t>
  </si>
  <si>
    <t>LCD TECNO CAMON 40</t>
  </si>
  <si>
    <t>MF-FP.0011</t>
  </si>
  <si>
    <t>MR. 083879118874</t>
  </si>
  <si>
    <t>REYKAFF</t>
  </si>
  <si>
    <t>100036</t>
  </si>
  <si>
    <t>SPOTLITE TEMPERED GLASS CRYSTAL IPHONE 11</t>
  </si>
  <si>
    <t>MF-FP.0007</t>
  </si>
  <si>
    <t>MR. 081370004429</t>
  </si>
  <si>
    <t>HAFIZ</t>
  </si>
  <si>
    <t>100076</t>
  </si>
  <si>
    <t>SPOTLITE TEMPERED GLASS SPY IPHONE 15 PRO</t>
  </si>
  <si>
    <t>MF-FP.0048</t>
  </si>
  <si>
    <t>MR. 081294918372</t>
  </si>
  <si>
    <t>WAHYONO</t>
  </si>
  <si>
    <t>100366</t>
  </si>
  <si>
    <t>ADAPTOR UNIVERSAL</t>
  </si>
  <si>
    <t>100342</t>
  </si>
  <si>
    <t>BATERAI POCO X3 NFC</t>
  </si>
  <si>
    <t>MF-FP.0021</t>
  </si>
  <si>
    <t>MR. 081282008785</t>
  </si>
  <si>
    <t>YANES</t>
  </si>
  <si>
    <t>100332</t>
  </si>
  <si>
    <t>LCD REALME C63</t>
  </si>
  <si>
    <t>100328</t>
  </si>
  <si>
    <t>LCD INFINIX NOTE 11 PRO</t>
  </si>
  <si>
    <t>Sum of TOTAL HARGA</t>
  </si>
  <si>
    <t>Column Labels</t>
  </si>
  <si>
    <t>Row Labels</t>
  </si>
  <si>
    <t>Omset Interface</t>
  </si>
  <si>
    <t>Omset lainnya</t>
  </si>
  <si>
    <t>Omset Mati Total</t>
  </si>
  <si>
    <t>Omset Normal</t>
  </si>
  <si>
    <t>Grand Total</t>
  </si>
  <si>
    <t>Bagi Hasil Teknisi — Cabang CIBUBUR</t>
  </si>
  <si>
    <t>Periode: 24 Juli 2026 – 23 Agustus 2026 · Tarif: Interface 20%, Normal 30%, Mati Total 32%, Promo 60%, Lainnya 30%, pembanding flat 30%</t>
  </si>
  <si>
    <t>Nama Teknisi</t>
  </si>
  <si>
    <t>Cabang</t>
  </si>
  <si>
    <t>Baris</t>
  </si>
  <si>
    <t>Omzet Interface</t>
  </si>
  <si>
    <t>Omzet Normal</t>
  </si>
  <si>
    <t>Omzet Mati Total</t>
  </si>
  <si>
    <t>Omzet Promo</t>
  </si>
  <si>
    <t>Omzet Lainnya</t>
  </si>
  <si>
    <t>Omzet Jasa (Total)</t>
  </si>
  <si>
    <t>Bagi Hasil Interface</t>
  </si>
  <si>
    <t>Bagi Hasil Normal</t>
  </si>
  <si>
    <t>Bagi Hasil Mati Total</t>
  </si>
  <si>
    <t>Bagi Hasil Promo</t>
  </si>
  <si>
    <t>Bagi Hasil Lainnya</t>
  </si>
  <si>
    <t>Bagi Hasil (Aturan)</t>
  </si>
  <si>
    <t>Pembanding 30%</t>
  </si>
  <si>
    <t>Selisih</t>
  </si>
  <si>
    <t>Efektif %</t>
  </si>
  <si>
    <t>Potongan Refund</t>
  </si>
  <si>
    <t>Potongan AR</t>
  </si>
  <si>
    <t>Potongan Kasbon</t>
  </si>
  <si>
    <t>Keterlambatan</t>
  </si>
  <si>
    <t>Potongan Minus Audit</t>
  </si>
  <si>
    <t>Potongan Audit Compliance</t>
  </si>
  <si>
    <t>Biaya Pendaftaran Koperasi</t>
  </si>
  <si>
    <t>Simpanan Pokok</t>
  </si>
  <si>
    <t>Simpanan Wajib</t>
  </si>
  <si>
    <t>Total Potongan</t>
  </si>
  <si>
    <t>Gaji Teknisi</t>
  </si>
  <si>
    <t>Nett Bagi hasil</t>
  </si>
  <si>
    <t>Cadangan 7 Tahun / bulan</t>
  </si>
  <si>
    <t>Cadangan 7 Tahun</t>
  </si>
  <si>
    <t>Total Cadangan 7 Tahun</t>
  </si>
  <si>
    <t>CIBUBUR</t>
  </si>
  <si>
    <t>TOTAL</t>
  </si>
  <si>
    <t>TEKNISI HANDPHONE &amp; LAPTOP</t>
  </si>
  <si>
    <t xml:space="preserve">PERIODE: </t>
  </si>
  <si>
    <t>AGUSTUS 2026</t>
  </si>
  <si>
    <t>NO</t>
  </si>
  <si>
    <t>NIK</t>
  </si>
  <si>
    <t>NAMA</t>
  </si>
  <si>
    <t>JABATAN</t>
  </si>
  <si>
    <t>LOKASI KERJA</t>
  </si>
  <si>
    <t xml:space="preserve">Bank </t>
  </si>
  <si>
    <t xml:space="preserve"> No. Rek. </t>
  </si>
  <si>
    <t xml:space="preserve"> A/n </t>
  </si>
  <si>
    <t>DATA REKENING</t>
  </si>
  <si>
    <t>STATUS KARYAWAN</t>
  </si>
  <si>
    <t>TOTAL LABA KOTOR JASA SERVICE HP</t>
  </si>
  <si>
    <t>PENERIMAAN BAGI HASIL</t>
  </si>
  <si>
    <t>PENDAPATAN LAIN-LAIN</t>
  </si>
  <si>
    <t>TOTAL PENDAPATAN</t>
  </si>
  <si>
    <t>BAGI HASIL NETT</t>
  </si>
  <si>
    <t>INFORMASI</t>
  </si>
  <si>
    <t>Teknisi</t>
  </si>
  <si>
    <t>BSI</t>
  </si>
  <si>
    <t>MITRA</t>
  </si>
  <si>
    <t>Jakarta,</t>
  </si>
  <si>
    <t>Approved by</t>
  </si>
  <si>
    <t>Prepared by</t>
  </si>
  <si>
    <t>Deni Darmawan</t>
  </si>
  <si>
    <t>Muhamad Yudisya Andita</t>
  </si>
  <si>
    <t>Galih Permana</t>
  </si>
  <si>
    <t>Zaskanul Tibalky</t>
  </si>
  <si>
    <t>Owner Madinah Group</t>
  </si>
  <si>
    <t>Corcomm</t>
  </si>
  <si>
    <t>Finance &amp; Acc Manager</t>
  </si>
  <si>
    <t>HR Manager</t>
  </si>
  <si>
    <t>DAFTAR POTONGAN GAJI KARYAWAN MADINAH FLASH CIBUBUR</t>
  </si>
  <si>
    <t>HASIL AUDIT BULAN JULI 2026</t>
  </si>
  <si>
    <t>MINUS AUDIT ALL STOCK</t>
  </si>
  <si>
    <t>MINUS AUDIT SAMPEL STOCK</t>
  </si>
  <si>
    <t>PLUS AUDIT ALL STOCK</t>
  </si>
  <si>
    <t>PLUS AUDIT SAMPEL STOCK</t>
  </si>
  <si>
    <t>TOTAL SALES BULAN JULI 2026</t>
  </si>
  <si>
    <t>BUDGET STORE MF 0.15%</t>
  </si>
  <si>
    <t>TOTAL NKL ( NILAI YANG HARUS DI BAYAR)</t>
  </si>
  <si>
    <t>TOTAL NILAI POTONGAN TIM TEKNISI MF (50%)</t>
  </si>
  <si>
    <t>NILAI YANG SUDAH DIBAYAR MFLASH WARBONG</t>
  </si>
  <si>
    <t>SISA BEBAN YANG HARUS DIBAYAR MFLASH CIBUBUR</t>
  </si>
  <si>
    <t>NAMA PERSONIL TOKO</t>
  </si>
  <si>
    <t>PROKSI POTONGAN</t>
  </si>
  <si>
    <t>TOTAL POTONGAN</t>
  </si>
  <si>
    <t>POTONGAN PER BULAN</t>
  </si>
  <si>
    <t>AGUSTUS</t>
  </si>
  <si>
    <t>KETERANGAN</t>
  </si>
  <si>
    <t>Belum ada Absensi Teknisi</t>
  </si>
  <si>
    <t xml:space="preserve">Teknisi </t>
  </si>
  <si>
    <t>TIDAK DIPOTONG BARU BUKA 31/07/2026</t>
  </si>
  <si>
    <t>Total</t>
  </si>
  <si>
    <t>DAFTAR BAGI HASIL MFLASH CIBUBUR PT MADINAH MULTIMEDIA TELEKOMUNIKASI</t>
  </si>
  <si>
    <t>YUVI NOFERIANTO</t>
  </si>
  <si>
    <t>Bank BSI No. Rek. 7330237591 A/n YUVI NOFERIANTO</t>
  </si>
  <si>
    <t>Egi Setya Ramadhani</t>
  </si>
  <si>
    <t>Bank BSI No. Rek. 7355932456 A/n Egi Setya Ramadhani</t>
  </si>
  <si>
    <t>Bank BSI No. Rek. 7340549378 A/n MUHAMMAD IBNU SIDDIQ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</si>
</sst>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_-;\-* #,##0_-;_-* &quot;-&quot;_-;_-@_-"/>
    <numFmt numFmtId="165" formatCode="_-* #,##0.00_-;\-* #,##0.00_-;_-* &quot;-&quot;??_-;_-@_-"/>
    <numFmt numFmtId="166" formatCode="_-* #,##0_-;\-* #,##0_-;_-* &quot;-&quot;??_-;_-@_-"/>
    <numFmt numFmtId="167" formatCode="yyyy\-mm\-dd\ h:mm:ss"/>
    <numFmt numFmtId="168" formatCode="0.0"/>
    <numFmt numFmtId="169" formatCode="_(&quot;Rp&quot;* #,##0_);_(&quot;Rp&quot;* \(#,##0\);_(&quot;Rp&quot;* &quot;-&quot;_);_(@_)"/>
    <numFmt numFmtId="170" formatCode="0000000000000"/>
    <numFmt numFmtId="171" formatCode="_(* #,##0_);_(* \(#,##0\);_(* &quot;-&quot;??_);_(@_)"/>
  </numFmts>
  <fonts count="28">
    <font>
      <sz val="11"/>
      <color theme="1"/>
      <name val="Calibri"/>
      <family val="2"/>
      <scheme val="minor"/>
    </font>
    <font>
      <b/>
      <sz val="9"/>
      <color rgb="FF003366"/>
      <name val="Arial"/>
      <family val="2"/>
    </font>
    <font>
      <sz val="11"/>
      <color theme="1"/>
      <name val="Calibri"/>
      <family val="2"/>
      <scheme val="minor"/>
    </font>
    <font>
      <b/>
      <sz val="13"/>
      <color rgb="FF1F3864"/>
      <name val="Calibri"/>
    </font>
    <font>
      <i/>
      <sz val="9"/>
      <color rgb="FF555555"/>
      <name val="Calibri"/>
    </font>
    <font>
      <b/>
      <sz val="10"/>
      <color rgb="FFFFFFFF"/>
      <name val="Calibri"/>
    </font>
    <font>
      <b/>
      <sz val="10"/>
      <color rgb="FF000000"/>
      <name val="Calibri"/>
    </font>
    <font>
      <b/>
      <sz val="11"/>
      <name val="Calibri"/>
    </font>
    <font>
      <b/>
      <sz val="36"/>
      <name val="Cambria"/>
      <family val="1"/>
    </font>
    <font>
      <b/>
      <sz val="22"/>
      <name val="Cambria"/>
      <family val="1"/>
    </font>
    <font>
      <i/>
      <sz val="16"/>
      <name val="Cambria"/>
      <family val="1"/>
    </font>
    <font>
      <b/>
      <sz val="22"/>
      <color theme="1"/>
      <name val="Cambria"/>
      <family val="1"/>
    </font>
    <font>
      <sz val="22"/>
      <name val="Cambria"/>
      <family val="1"/>
    </font>
    <font>
      <sz val="22"/>
      <color rgb="FF000000"/>
      <name val="Calibri Light"/>
      <family val="1"/>
      <scheme val="major"/>
    </font>
    <font>
      <sz val="22"/>
      <name val="Calibri Light"/>
      <family val="1"/>
      <scheme val="major"/>
    </font>
    <font>
      <sz val="22"/>
      <color theme="1"/>
      <name val="Calibri Light"/>
      <family val="1"/>
      <scheme val="major"/>
    </font>
    <font>
      <sz val="22"/>
      <color indexed="8"/>
      <name val="Cambria"/>
      <family val="1"/>
    </font>
    <font>
      <sz val="20"/>
      <name val="Cambria"/>
      <family val="1"/>
    </font>
    <font>
      <b/>
      <sz val="24"/>
      <name val="Cambria"/>
      <family val="1"/>
    </font>
    <font>
      <b/>
      <sz val="18"/>
      <name val="Cambria"/>
      <family val="1"/>
    </font>
    <font>
      <b/>
      <sz val="26"/>
      <name val="Cambria"/>
      <family val="1"/>
    </font>
    <font>
      <sz val="26"/>
      <name val="Cambria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Arial Unicode MS"/>
    </font>
    <font>
      <sz val="12"/>
      <color theme="1"/>
      <name val="Arial Unicode MS"/>
    </font>
  </fonts>
  <fills count="22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1F3864"/>
      </patternFill>
    </fill>
    <fill>
      <patternFill patternType="solid">
        <fgColor rgb="FFEAB308"/>
      </patternFill>
    </fill>
    <fill>
      <patternFill patternType="solid">
        <fgColor rgb="FFB45309"/>
      </patternFill>
    </fill>
    <fill>
      <patternFill patternType="solid">
        <fgColor rgb="FF166534"/>
      </patternFill>
    </fill>
    <fill>
      <patternFill patternType="solid">
        <fgColor rgb="FFFFF8E1"/>
      </patternFill>
    </fill>
    <fill>
      <patternFill patternType="solid">
        <fgColor rgb="FFDCE6F1"/>
      </patternFill>
    </fill>
    <fill>
      <patternFill patternType="solid">
        <fgColor theme="6" tint="0.399914548173467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/>
      <right/>
      <top/>
      <bottom style="thin">
        <color rgb="FFD9D9D9"/>
      </bottom>
      <diagonal/>
    </border>
    <border>
      <left/>
      <right/>
      <top style="medium">
        <color rgb="FF1F38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5" borderId="2"/>
    <xf numFmtId="165" fontId="2" fillId="5" borderId="2"/>
    <xf numFmtId="0" fontId="23" fillId="5" borderId="2">
      <alignment vertical="center"/>
    </xf>
  </cellStyleXfs>
  <cellXfs count="90">
    <xf numFmtId="0" fontId="0" fillId="0" borderId="0" xfId="0" applyFill="1" applyBorder="1"/>
    <xf numFmtId="0" fontId="0" fillId="2" borderId="0" xfId="0" applyFill="1" applyBorder="1" applyAlignment="1" applyProtection="1">
      <alignment wrapText="1"/>
      <protection locked="0"/>
    </xf>
    <xf numFmtId="0" fontId="1" fillId="3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right" vertical="top" wrapText="1"/>
    </xf>
    <xf numFmtId="0" fontId="0" fillId="0" borderId="0" xfId="0" pivotButton="1" applyFill="1" applyBorder="1"/>
    <xf numFmtId="0" fontId="0" fillId="0" borderId="0" xfId="0" applyFill="1" applyBorder="1" applyAlignment="1">
      <alignment horizontal="left"/>
    </xf>
    <xf numFmtId="166" fontId="0" fillId="0" borderId="0" xfId="1" applyNumberFormat="1" applyFont="1" applyFill="1" applyBorder="1"/>
    <xf numFmtId="166" fontId="0" fillId="0" borderId="0" xfId="0" applyNumberFormat="1" applyFill="1" applyBorder="1"/>
    <xf numFmtId="166" fontId="0" fillId="0" borderId="0" xfId="0" pivotButton="1" applyNumberFormat="1" applyFill="1" applyBorder="1"/>
    <xf numFmtId="167" fontId="0" fillId="0" borderId="0" xfId="0" applyNumberFormat="1" applyFill="1" applyBorder="1"/>
    <xf numFmtId="0" fontId="3" fillId="0" borderId="0" xfId="0" applyFont="1" applyFill="1" applyBorder="1"/>
    <xf numFmtId="0" fontId="4" fillId="0" borderId="0" xfId="0" applyFont="1" applyFill="1" applyBorder="1"/>
    <xf numFmtId="0" fontId="5" fillId="6" borderId="3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0" fillId="0" borderId="4" xfId="0" applyFill="1" applyBorder="1"/>
    <xf numFmtId="3" fontId="0" fillId="0" borderId="4" xfId="0" applyNumberFormat="1" applyFill="1" applyBorder="1"/>
    <xf numFmtId="168" fontId="0" fillId="0" borderId="4" xfId="0" applyNumberFormat="1" applyFill="1" applyBorder="1"/>
    <xf numFmtId="3" fontId="0" fillId="10" borderId="4" xfId="0" applyNumberFormat="1" applyFill="1" applyBorder="1"/>
    <xf numFmtId="0" fontId="7" fillId="11" borderId="5" xfId="0" applyFont="1" applyFill="1" applyBorder="1"/>
    <xf numFmtId="3" fontId="7" fillId="11" borderId="5" xfId="0" applyNumberFormat="1" applyFont="1" applyFill="1" applyBorder="1"/>
    <xf numFmtId="168" fontId="7" fillId="11" borderId="5" xfId="0" applyNumberFormat="1" applyFont="1" applyFill="1" applyBorder="1"/>
    <xf numFmtId="0" fontId="8" fillId="5" borderId="2" xfId="0" applyFont="1" applyAlignment="1">
      <alignment vertical="center"/>
    </xf>
    <xf numFmtId="0" fontId="8" fillId="5" borderId="2" xfId="0" applyFont="1" applyAlignment="1">
      <alignment vertical="center" wrapText="1"/>
    </xf>
    <xf numFmtId="0" fontId="8" fillId="5" borderId="2" xfId="0" applyFont="1" applyAlignment="1">
      <alignment horizontal="left" vertical="center" wrapText="1"/>
    </xf>
    <xf numFmtId="17" fontId="8" fillId="5" borderId="2" xfId="0" applyNumberFormat="1" applyFont="1" applyAlignment="1">
      <alignment vertical="center"/>
    </xf>
    <xf numFmtId="49" fontId="9" fillId="5" borderId="2" xfId="0" applyNumberFormat="1" applyFont="1" applyAlignment="1">
      <alignment horizontal="center" vertical="center"/>
    </xf>
    <xf numFmtId="0" fontId="9" fillId="5" borderId="2" xfId="0" applyFont="1" applyAlignment="1">
      <alignment horizontal="center" vertical="center"/>
    </xf>
    <xf numFmtId="0" fontId="10" fillId="5" borderId="2" xfId="0" applyFont="1" applyAlignment="1">
      <alignment horizontal="center" vertical="center"/>
    </xf>
    <xf numFmtId="0" fontId="9" fillId="12" borderId="6" xfId="0" applyFont="1" applyFill="1" applyBorder="1" applyAlignment="1">
      <alignment horizontal="center" vertical="center" wrapText="1"/>
    </xf>
    <xf numFmtId="49" fontId="9" fillId="12" borderId="6" xfId="0" applyNumberFormat="1" applyFont="1" applyFill="1" applyBorder="1" applyAlignment="1">
      <alignment horizontal="center" vertical="center" wrapText="1"/>
    </xf>
    <xf numFmtId="0" fontId="9" fillId="13" borderId="6" xfId="0" applyFont="1" applyFill="1" applyBorder="1" applyAlignment="1">
      <alignment horizontal="center" vertical="center" wrapText="1"/>
    </xf>
    <xf numFmtId="0" fontId="9" fillId="14" borderId="6" xfId="0" applyFont="1" applyFill="1" applyBorder="1" applyAlignment="1">
      <alignment horizontal="center" vertical="center" wrapText="1"/>
    </xf>
    <xf numFmtId="0" fontId="11" fillId="15" borderId="6" xfId="0" applyFont="1" applyFill="1" applyBorder="1" applyAlignment="1">
      <alignment horizontal="center" vertical="center" wrapText="1"/>
    </xf>
    <xf numFmtId="0" fontId="9" fillId="5" borderId="6" xfId="0" applyFont="1" applyBorder="1" applyAlignment="1">
      <alignment horizontal="center" vertical="center" wrapText="1"/>
    </xf>
    <xf numFmtId="0" fontId="12" fillId="5" borderId="6" xfId="0" applyFont="1" applyBorder="1" applyAlignment="1">
      <alignment horizontal="center" vertical="center" wrapText="1"/>
    </xf>
    <xf numFmtId="0" fontId="13" fillId="16" borderId="6" xfId="0" applyFont="1" applyFill="1" applyBorder="1" applyAlignment="1">
      <alignment horizontal="center" vertical="center"/>
    </xf>
    <xf numFmtId="0" fontId="14" fillId="5" borderId="6" xfId="0" applyFont="1" applyBorder="1" applyAlignment="1">
      <alignment horizontal="left" vertical="center" wrapText="1"/>
    </xf>
    <xf numFmtId="0" fontId="14" fillId="5" borderId="6" xfId="0" applyFont="1" applyBorder="1" applyAlignment="1">
      <alignment horizontal="center" vertical="center" wrapText="1"/>
    </xf>
    <xf numFmtId="0" fontId="15" fillId="5" borderId="6" xfId="0" applyFont="1" applyBorder="1" applyAlignment="1">
      <alignment horizontal="center" vertical="center" wrapText="1"/>
    </xf>
    <xf numFmtId="0" fontId="14" fillId="5" borderId="6" xfId="0" applyFont="1" applyBorder="1" applyAlignment="1">
      <alignment vertical="center"/>
    </xf>
    <xf numFmtId="164" fontId="16" fillId="5" borderId="6" xfId="0" applyNumberFormat="1" applyFont="1" applyBorder="1" applyAlignment="1">
      <alignment vertical="center"/>
    </xf>
    <xf numFmtId="164" fontId="12" fillId="5" borderId="6" xfId="0" applyNumberFormat="1" applyFont="1" applyBorder="1" applyAlignment="1">
      <alignment horizontal="center" vertical="center" wrapText="1"/>
    </xf>
    <xf numFmtId="0" fontId="17" fillId="5" borderId="6" xfId="0" applyFont="1" applyBorder="1" applyAlignment="1">
      <alignment vertical="center" wrapText="1"/>
    </xf>
    <xf numFmtId="169" fontId="18" fillId="5" borderId="6" xfId="0" applyNumberFormat="1" applyFont="1" applyBorder="1" applyAlignment="1">
      <alignment horizontal="center" vertical="center" wrapText="1"/>
    </xf>
    <xf numFmtId="0" fontId="19" fillId="5" borderId="6" xfId="0" applyFont="1" applyBorder="1" applyAlignment="1">
      <alignment vertical="center" wrapText="1"/>
    </xf>
    <xf numFmtId="0" fontId="19" fillId="5" borderId="2" xfId="0" applyFont="1" applyAlignment="1">
      <alignment vertical="center"/>
    </xf>
    <xf numFmtId="0" fontId="20" fillId="5" borderId="2" xfId="0" applyFont="1" applyAlignment="1">
      <alignment horizontal="right" vertical="center"/>
    </xf>
    <xf numFmtId="14" fontId="20" fillId="5" borderId="2" xfId="0" applyNumberFormat="1" applyFont="1" applyAlignment="1">
      <alignment horizontal="right" vertical="center"/>
    </xf>
    <xf numFmtId="169" fontId="12" fillId="5" borderId="2" xfId="0" applyNumberFormat="1" applyFont="1" applyAlignment="1">
      <alignment vertical="center"/>
    </xf>
    <xf numFmtId="170" fontId="20" fillId="5" borderId="2" xfId="0" applyNumberFormat="1" applyFont="1" applyAlignment="1">
      <alignment horizontal="center" vertical="center"/>
    </xf>
    <xf numFmtId="0" fontId="20" fillId="5" borderId="2" xfId="0" applyFont="1" applyAlignment="1">
      <alignment horizontal="center" vertical="center"/>
    </xf>
    <xf numFmtId="164" fontId="20" fillId="5" borderId="2" xfId="0" applyNumberFormat="1" applyFont="1" applyAlignment="1">
      <alignment horizontal="center" vertical="center"/>
    </xf>
    <xf numFmtId="164" fontId="20" fillId="5" borderId="2" xfId="0" applyNumberFormat="1" applyFont="1" applyAlignment="1">
      <alignment vertical="center"/>
    </xf>
    <xf numFmtId="0" fontId="20" fillId="5" borderId="2" xfId="0" applyFont="1" applyAlignment="1">
      <alignment horizontal="left" vertical="center"/>
    </xf>
    <xf numFmtId="171" fontId="21" fillId="5" borderId="2" xfId="0" applyNumberFormat="1" applyFont="1" applyAlignment="1">
      <alignment vertical="center"/>
    </xf>
    <xf numFmtId="169" fontId="21" fillId="5" borderId="2" xfId="0" applyNumberFormat="1" applyFont="1" applyAlignment="1">
      <alignment vertical="center"/>
    </xf>
    <xf numFmtId="164" fontId="21" fillId="5" borderId="2" xfId="0" applyNumberFormat="1" applyFont="1" applyAlignment="1">
      <alignment vertical="center"/>
    </xf>
    <xf numFmtId="0" fontId="22" fillId="5" borderId="2" xfId="2" applyFont="1">
      <alignment vertical="center"/>
    </xf>
    <xf numFmtId="0" fontId="23" fillId="5" borderId="2" xfId="2">
      <alignment vertical="center"/>
    </xf>
    <xf numFmtId="0" fontId="2" fillId="5" borderId="2" xfId="2" applyFont="1">
      <alignment vertical="center"/>
    </xf>
    <xf numFmtId="169" fontId="23" fillId="5" borderId="2" xfId="2" applyNumberFormat="1">
      <alignment vertical="center"/>
    </xf>
    <xf numFmtId="169" fontId="23" fillId="17" borderId="2" xfId="2" applyNumberFormat="1" applyFill="1">
      <alignment vertical="center"/>
    </xf>
    <xf numFmtId="169" fontId="23" fillId="18" borderId="2" xfId="2" applyNumberFormat="1" applyFill="1">
      <alignment vertical="center"/>
    </xf>
    <xf numFmtId="169" fontId="23" fillId="19" borderId="2" xfId="2" applyNumberFormat="1" applyFill="1">
      <alignment vertical="center"/>
    </xf>
    <xf numFmtId="0" fontId="23" fillId="16" borderId="9" xfId="2" applyFill="1" applyBorder="1">
      <alignment vertical="center"/>
    </xf>
    <xf numFmtId="169" fontId="23" fillId="16" borderId="10" xfId="2" applyNumberFormat="1" applyFill="1" applyBorder="1">
      <alignment vertical="center"/>
    </xf>
    <xf numFmtId="0" fontId="2" fillId="16" borderId="9" xfId="2" applyFont="1" applyFill="1" applyBorder="1">
      <alignment vertical="center"/>
    </xf>
    <xf numFmtId="0" fontId="23" fillId="20" borderId="11" xfId="2" applyFill="1" applyBorder="1" applyAlignment="1">
      <alignment horizontal="center" vertical="center"/>
    </xf>
    <xf numFmtId="0" fontId="23" fillId="20" borderId="6" xfId="2" applyFill="1" applyBorder="1" applyAlignment="1">
      <alignment horizontal="center" vertical="center" wrapText="1"/>
    </xf>
    <xf numFmtId="0" fontId="2" fillId="20" borderId="6" xfId="2" applyFont="1" applyFill="1" applyBorder="1" applyAlignment="1">
      <alignment horizontal="center" vertical="center"/>
    </xf>
    <xf numFmtId="0" fontId="23" fillId="20" borderId="6" xfId="2" applyFill="1" applyBorder="1" applyAlignment="1">
      <alignment horizontal="center" vertical="center"/>
    </xf>
    <xf numFmtId="0" fontId="2" fillId="5" borderId="6" xfId="2" applyFont="1" applyBorder="1">
      <alignment vertical="center"/>
    </xf>
    <xf numFmtId="0" fontId="23" fillId="5" borderId="6" xfId="2" applyBorder="1" applyAlignment="1">
      <alignment horizontal="center" vertical="center"/>
    </xf>
    <xf numFmtId="169" fontId="23" fillId="5" borderId="6" xfId="2" applyNumberFormat="1" applyBorder="1">
      <alignment vertical="center"/>
    </xf>
    <xf numFmtId="0" fontId="22" fillId="5" borderId="6" xfId="2" applyFont="1" applyBorder="1">
      <alignment vertical="center"/>
    </xf>
    <xf numFmtId="0" fontId="2" fillId="5" borderId="6" xfId="2" applyFont="1" applyBorder="1" applyAlignment="1">
      <alignment horizontal="center" vertical="center"/>
    </xf>
    <xf numFmtId="0" fontId="23" fillId="21" borderId="6" xfId="2" applyFill="1" applyBorder="1" applyAlignment="1">
      <alignment horizontal="center" vertical="center"/>
    </xf>
    <xf numFmtId="0" fontId="23" fillId="21" borderId="6" xfId="2" applyFill="1" applyBorder="1">
      <alignment vertical="center"/>
    </xf>
    <xf numFmtId="169" fontId="24" fillId="21" borderId="6" xfId="2" applyNumberFormat="1" applyFont="1" applyFill="1" applyBorder="1">
      <alignment vertical="center"/>
    </xf>
    <xf numFmtId="169" fontId="25" fillId="21" borderId="6" xfId="2" applyNumberFormat="1" applyFont="1" applyFill="1" applyBorder="1">
      <alignment vertical="center"/>
    </xf>
    <xf numFmtId="0" fontId="26" fillId="5" borderId="2" xfId="2" applyFont="1">
      <alignment vertical="center"/>
    </xf>
    <xf numFmtId="0" fontId="27" fillId="5" borderId="2" xfId="2" applyFont="1">
      <alignment vertical="center"/>
    </xf>
    <xf numFmtId="0" fontId="23" fillId="5" borderId="2" xfId="2" applyAlignment="1">
      <alignment horizontal="center" vertical="center"/>
    </xf>
    <xf numFmtId="169" fontId="22" fillId="5" borderId="12" xfId="2" applyNumberFormat="1" applyFont="1" applyBorder="1" applyAlignment="1">
      <alignment horizontal="center" vertical="center"/>
    </xf>
    <xf numFmtId="169" fontId="22" fillId="5" borderId="13" xfId="2" applyNumberFormat="1" applyFont="1" applyBorder="1" applyAlignment="1">
      <alignment horizontal="center" vertical="center"/>
    </xf>
    <xf numFmtId="0" fontId="18" fillId="5" borderId="6" xfId="0" applyFont="1" applyBorder="1" applyAlignment="1">
      <alignment horizontal="center" vertical="center"/>
    </xf>
    <xf numFmtId="0" fontId="0" fillId="0" borderId="7" xfId="0" applyFill="1" applyBorder="1"/>
    <xf numFmtId="0" fontId="0" fillId="0" borderId="8" xfId="0" applyFill="1" applyBorder="1"/>
  </cellXfs>
  <cellStyles count="3">
    <cellStyle name="Comma" xfId="1" builtinId="3"/>
    <cellStyle name="Normal" xfId="0" builtinId="0"/>
    <cellStyle name="Normal 2" xfId="2" xr:uid="{7E562C45-B600-465E-89E5-43D582B1366D}"/>
  </cellStyles>
  <dxfs count="12"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971550</xdr:colOff>
      <xdr:row>6</xdr:row>
      <xdr:rowOff>152400</xdr:rowOff>
    </xdr:from>
    <xdr:to>
      <xdr:col>7</xdr:col>
      <xdr:colOff>2037715</xdr:colOff>
      <xdr:row>15</xdr:row>
      <xdr:rowOff>13335</xdr:rowOff>
    </xdr:to>
    <xdr:pic>
      <xdr:nvPicPr>
        <xdr:cNvPr id="2" name="Picture 1" descr="Mflash">
          <a:extLst>
            <a:ext uri="{FF2B5EF4-FFF2-40B4-BE49-F238E27FC236}">
              <a16:creationId xmlns:a16="http://schemas.microsoft.com/office/drawing/2014/main" id="{C11E506C-B21E-4399-84B5-4B2745F9F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28035" t="20705" r="26169" b="21287"/>
        <a:stretch>
          <a:fillRect/>
        </a:stretch>
      </xdr:blipFill>
      <xdr:spPr>
        <a:xfrm>
          <a:off x="8686800" y="1295400"/>
          <a:ext cx="2066290" cy="1594485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User" refreshedDate="46265.609760069441" missingItemsLimit="0" createdVersion="6" refreshedVersion="8" minRefreshableVersion="3" recordCount="592" xr:uid="{00000000-000A-0000-FFFF-FFFF0B000000}">
  <cacheSource type="worksheet">
    <worksheetSource ref="B1:AU1048576" sheet="Rincian Faktur Penjualan"/>
  </cacheSource>
  <cacheFields count="46">
    <cacheField name="TGL FAKTUR" numFmtId="0">
      <sharedItems containsNonDate="0" containsDate="1" containsString="0" containsBlank="1" minDate="2026-07-31T00:00:00" maxDate="2026-08-24T00:00:00"/>
    </cacheField>
    <cacheField name="i" numFmtId="0">
      <sharedItems containsNonDate="0" containsString="0" containsBlank="1"/>
    </cacheField>
    <cacheField name="NO FAKTUR" numFmtId="0">
      <sharedItems containsBlank="1"/>
    </cacheField>
    <cacheField name="i2" numFmtId="0">
      <sharedItems containsNonDate="0" containsString="0" containsBlank="1"/>
    </cacheField>
    <cacheField name="Nomor # Pengiriman Pesanan" numFmtId="0">
      <sharedItems containsBlank="1"/>
    </cacheField>
    <cacheField name="i3" numFmtId="0">
      <sharedItems containsNonDate="0" containsString="0" containsBlank="1"/>
    </cacheField>
    <cacheField name="Tanggal Pengiriman Pesanan" numFmtId="0">
      <sharedItems containsNonDate="0" containsDate="1" containsString="0" containsBlank="1" minDate="2026-07-31T00:00:00" maxDate="2026-08-24T00:00:00"/>
    </cacheField>
    <cacheField name="i4" numFmtId="0">
      <sharedItems containsNonDate="0" containsString="0" containsBlank="1"/>
    </cacheField>
    <cacheField name="KATEGORI PELANGGAN" numFmtId="0">
      <sharedItems containsBlank="1"/>
    </cacheField>
    <cacheField name="i5" numFmtId="0">
      <sharedItems containsNonDate="0" containsString="0" containsBlank="1"/>
    </cacheField>
    <cacheField name="ID PELANGGAN" numFmtId="0">
      <sharedItems containsBlank="1"/>
    </cacheField>
    <cacheField name="i6" numFmtId="0">
      <sharedItems containsNonDate="0" containsString="0" containsBlank="1"/>
    </cacheField>
    <cacheField name="NAMA CUSTOMER" numFmtId="0">
      <sharedItems containsBlank="1"/>
    </cacheField>
    <cacheField name="i7" numFmtId="0">
      <sharedItems containsNonDate="0" containsString="0" containsBlank="1"/>
    </cacheField>
    <cacheField name="NAMA ADMIN" numFmtId="0">
      <sharedItems containsBlank="1"/>
    </cacheField>
    <cacheField name="i8" numFmtId="0">
      <sharedItems containsNonDate="0" containsString="0" containsBlank="1"/>
    </cacheField>
    <cacheField name="KATEGORI PENJUALAN" numFmtId="0">
      <sharedItems containsBlank="1"/>
    </cacheField>
    <cacheField name="i9" numFmtId="0">
      <sharedItems containsNonDate="0" containsString="0" containsBlank="1"/>
    </cacheField>
    <cacheField name="KATEGORI BARANG" numFmtId="0">
      <sharedItems containsBlank="1" count="5">
        <s v="JASA"/>
        <s v="AKSESORIS"/>
        <s v="SPAREPART"/>
        <s v="HANDPHONE"/>
        <m/>
      </sharedItems>
    </cacheField>
    <cacheField name="i10" numFmtId="0">
      <sharedItems containsNonDate="0" containsString="0" containsBlank="1"/>
    </cacheField>
    <cacheField name="NAMA TEKNISI" numFmtId="0">
      <sharedItems containsBlank="1"/>
    </cacheField>
    <cacheField name="i11" numFmtId="0">
      <sharedItems containsNonDate="0" containsString="0" containsBlank="1"/>
    </cacheField>
    <cacheField name="NAMA TEKNISI (FINAL)" numFmtId="0">
      <sharedItems containsBlank="1" count="7">
        <s v="IKANG TAUFIK"/>
        <s v="YUFI NOFERIANTO"/>
        <s v="EGI SETYA RAMADANI"/>
        <s v="MUHAMMAD IBNU SIDDIQ"/>
        <s v="FARID HASHBI SIDDIQ"/>
        <s v="N/A"/>
        <m/>
      </sharedItems>
    </cacheField>
    <cacheField name="i12" numFmtId="0">
      <sharedItems containsNonDate="0" containsString="0" containsBlank="1"/>
    </cacheField>
    <cacheField name="YANG MENYERAHKAN/MENJUAL" numFmtId="0">
      <sharedItems containsBlank="1"/>
    </cacheField>
    <cacheField name="i13" numFmtId="0">
      <sharedItems containsNonDate="0" containsString="0" containsBlank="1"/>
    </cacheField>
    <cacheField name="KERUSAKAN UTAMA" numFmtId="0">
      <sharedItems containsBlank="1"/>
    </cacheField>
    <cacheField name="i14" numFmtId="0">
      <sharedItems containsNonDate="0" containsString="0" containsBlank="1"/>
    </cacheField>
    <cacheField name="MERK UNIT" numFmtId="0">
      <sharedItems containsBlank="1"/>
    </cacheField>
    <cacheField name="i15" numFmtId="0">
      <sharedItems containsNonDate="0" containsString="0" containsBlank="1"/>
    </cacheField>
    <cacheField name="TIPE UNIT" numFmtId="0">
      <sharedItems containsBlank="1"/>
    </cacheField>
    <cacheField name="i16" numFmtId="0">
      <sharedItems containsNonDate="0" containsString="0" containsBlank="1"/>
    </cacheField>
    <cacheField name="KODE BARANG" numFmtId="0">
      <sharedItems containsBlank="1"/>
    </cacheField>
    <cacheField name="i17" numFmtId="0">
      <sharedItems containsNonDate="0" containsString="0" containsBlank="1"/>
    </cacheField>
    <cacheField name="NAMA BARANG" numFmtId="0">
      <sharedItems containsBlank="1"/>
    </cacheField>
    <cacheField name="i18" numFmtId="0">
      <sharedItems containsNonDate="0" containsString="0" containsBlank="1"/>
    </cacheField>
    <cacheField name="HARGA BELI" numFmtId="0">
      <sharedItems containsString="0" containsBlank="1" containsNumber="1" minValue="0" maxValue="3925799"/>
    </cacheField>
    <cacheField name="i19" numFmtId="0">
      <sharedItems containsNonDate="0" containsString="0" containsBlank="1"/>
    </cacheField>
    <cacheField name="QTY" numFmtId="0">
      <sharedItems containsString="0" containsBlank="1" containsNumber="1" containsInteger="1" minValue="1" maxValue="3"/>
    </cacheField>
    <cacheField name="i20" numFmtId="0">
      <sharedItems containsNonDate="0" containsString="0" containsBlank="1"/>
    </cacheField>
    <cacheField name="@HARGA" numFmtId="0">
      <sharedItems containsString="0" containsBlank="1" containsNumber="1" containsInteger="1" minValue="0" maxValue="4225000"/>
    </cacheField>
    <cacheField name="i21" numFmtId="0">
      <sharedItems containsNonDate="0" containsString="0" containsBlank="1"/>
    </cacheField>
    <cacheField name="TOTAL HARGA" numFmtId="0">
      <sharedItems containsString="0" containsBlank="1" containsNumber="1" containsInteger="1" minValue="0" maxValue="4225000"/>
    </cacheField>
    <cacheField name="i22" numFmtId="0">
      <sharedItems containsNonDate="0" containsString="0" containsBlank="1"/>
    </cacheField>
    <cacheField name="Nama Default Penjual Pelanggan Faktur Penjualan" numFmtId="0">
      <sharedItems containsBlank="1"/>
    </cacheField>
    <cacheField name="Kata Kunci" numFmtId="0">
      <sharedItems containsBlank="1" count="5">
        <s v="Omset Interface"/>
        <s v="Omset lainnya"/>
        <s v="Omset Normal"/>
        <s v="Omset Mati Total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12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F10" firstHeaderRow="1" firstDataRow="2" firstDataCol="1" rowPageCount="1" colPageCount="1"/>
  <pivotFields count="4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6">
        <item x="1"/>
        <item x="3"/>
        <item x="0"/>
        <item x="2"/>
        <item x="4"/>
        <item t="default"/>
      </items>
    </pivotField>
    <pivotField showAll="0"/>
    <pivotField showAll="0"/>
    <pivotField showAll="0"/>
    <pivotField axis="axisRow" showAll="0">
      <items count="8">
        <item x="5"/>
        <item x="6"/>
        <item x="0"/>
        <item x="1"/>
        <item x="3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Col" showAll="0">
      <items count="6">
        <item x="0"/>
        <item x="1"/>
        <item x="3"/>
        <item x="2"/>
        <item x="4"/>
        <item t="default"/>
      </items>
    </pivotField>
  </pivotFields>
  <rowFields count="1">
    <field x="22"/>
  </rowFields>
  <rowItems count="6">
    <i>
      <x v="2"/>
    </i>
    <i>
      <x v="3"/>
    </i>
    <i>
      <x v="4"/>
    </i>
    <i>
      <x v="5"/>
    </i>
    <i>
      <x v="6"/>
    </i>
    <i t="grand">
      <x/>
    </i>
  </rowItems>
  <colFields count="1">
    <field x="45"/>
  </colFields>
  <colItems count="5">
    <i>
      <x/>
    </i>
    <i>
      <x v="1"/>
    </i>
    <i>
      <x v="2"/>
    </i>
    <i>
      <x v="3"/>
    </i>
    <i t="grand">
      <x/>
    </i>
  </colItems>
  <pageFields count="1">
    <pageField fld="18" item="2" hier="-1"/>
  </pageFields>
  <dataFields count="1">
    <dataField name="Sum of TOTAL HARGA" fld="42" baseField="0" baseItem="0" numFmtId="166"/>
  </dataFields>
  <formats count="6">
    <format dxfId="11">
      <pivotArea outline="0" collapsedLevelsAreSubtotals="1" fieldPosition="0"/>
    </format>
    <format dxfId="10">
      <pivotArea dataOnly="0" labelOnly="1" outline="0" fieldPosition="0">
        <references count="1">
          <reference field="18" count="1">
            <x v="2"/>
          </reference>
        </references>
      </pivotArea>
    </format>
    <format dxfId="9">
      <pivotArea field="45" type="button" dataOnly="0" labelOnly="1" outline="0" axis="axisCol" fieldPosition="0"/>
    </format>
    <format dxfId="8">
      <pivotArea type="topRight" dataOnly="0" labelOnly="1" outline="0" fieldPosition="0"/>
    </format>
    <format dxfId="7">
      <pivotArea dataOnly="0" labelOnly="1" fieldPosition="0">
        <references count="1">
          <reference field="45" count="4">
            <x v="0"/>
            <x v="1"/>
            <x v="2"/>
            <x v="3"/>
          </reference>
        </references>
      </pivotArea>
    </format>
    <format dxfId="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A999D-FFA2-40FA-B411-3D38684E4AA1}">
  <dimension ref="A3:H51"/>
  <sheetViews>
    <sheetView showGridLines="0" topLeftCell="A4" workbookViewId="0">
      <selection activeCell="G18" sqref="G18"/>
    </sheetView>
  </sheetViews>
  <sheetFormatPr defaultColWidth="9.109375" defaultRowHeight="14.4"/>
  <cols>
    <col min="1" max="1" width="4.5546875" style="60" customWidth="1"/>
    <col min="2" max="2" width="52.44140625" style="60" customWidth="1"/>
    <col min="3" max="3" width="16.6640625" style="60" customWidth="1"/>
    <col min="4" max="4" width="13.6640625" style="60" customWidth="1"/>
    <col min="5" max="5" width="14.88671875" style="60" customWidth="1"/>
    <col min="6" max="6" width="13.44140625" style="60" customWidth="1"/>
    <col min="7" max="7" width="15" style="60" customWidth="1"/>
    <col min="8" max="8" width="37" style="60" bestFit="1" customWidth="1"/>
    <col min="9" max="16384" width="9.109375" style="60"/>
  </cols>
  <sheetData>
    <row r="3" spans="1:7">
      <c r="A3" s="59" t="s">
        <v>1532</v>
      </c>
    </row>
    <row r="5" spans="1:7">
      <c r="B5" s="61" t="s">
        <v>1533</v>
      </c>
    </row>
    <row r="6" spans="1:7">
      <c r="B6" s="60" t="s">
        <v>1534</v>
      </c>
      <c r="C6" s="62">
        <v>0</v>
      </c>
      <c r="D6" s="62"/>
    </row>
    <row r="7" spans="1:7">
      <c r="B7" s="60" t="s">
        <v>1535</v>
      </c>
      <c r="C7" s="62">
        <v>0</v>
      </c>
      <c r="D7" s="62"/>
    </row>
    <row r="8" spans="1:7">
      <c r="C8" s="62"/>
      <c r="D8" s="63">
        <f>C6+C7</f>
        <v>0</v>
      </c>
    </row>
    <row r="9" spans="1:7">
      <c r="B9" s="60" t="s">
        <v>1536</v>
      </c>
      <c r="C9" s="62">
        <v>0</v>
      </c>
      <c r="D9" s="62"/>
    </row>
    <row r="10" spans="1:7">
      <c r="B10" s="60" t="s">
        <v>1537</v>
      </c>
      <c r="C10" s="62">
        <v>0</v>
      </c>
      <c r="D10" s="62"/>
    </row>
    <row r="11" spans="1:7">
      <c r="C11" s="62"/>
      <c r="D11" s="64">
        <f>C9+C10</f>
        <v>0</v>
      </c>
    </row>
    <row r="12" spans="1:7">
      <c r="B12" s="61" t="s">
        <v>1538</v>
      </c>
      <c r="C12" s="62">
        <v>20732243</v>
      </c>
    </row>
    <row r="13" spans="1:7">
      <c r="B13" s="60" t="s">
        <v>1539</v>
      </c>
      <c r="C13" s="62">
        <f>C12*0.15%</f>
        <v>31098.3645</v>
      </c>
    </row>
    <row r="14" spans="1:7" ht="15" thickBot="1">
      <c r="B14" s="60" t="s">
        <v>1540</v>
      </c>
      <c r="C14" s="65">
        <f>D8-D11-C13</f>
        <v>-31098.3645</v>
      </c>
    </row>
    <row r="15" spans="1:7" ht="15" thickBot="1">
      <c r="B15" s="66" t="s">
        <v>1541</v>
      </c>
      <c r="C15" s="67">
        <f>C14*50/100</f>
        <v>-15549.182250000002</v>
      </c>
    </row>
    <row r="16" spans="1:7" ht="15" thickBot="1">
      <c r="B16" s="61" t="s">
        <v>1542</v>
      </c>
      <c r="C16" s="62">
        <v>0</v>
      </c>
      <c r="G16" s="84"/>
    </row>
    <row r="17" spans="2:8" ht="15" thickBot="1">
      <c r="B17" s="68" t="s">
        <v>1543</v>
      </c>
      <c r="C17" s="67">
        <f>C15-C16</f>
        <v>-15549.182250000002</v>
      </c>
      <c r="G17" s="84"/>
    </row>
    <row r="18" spans="2:8" ht="28.8">
      <c r="B18" s="69" t="s">
        <v>1544</v>
      </c>
      <c r="C18" s="69" t="s">
        <v>1505</v>
      </c>
      <c r="D18" s="70" t="s">
        <v>1545</v>
      </c>
      <c r="E18" s="70" t="s">
        <v>1546</v>
      </c>
      <c r="F18" s="70" t="s">
        <v>1547</v>
      </c>
      <c r="G18" s="71" t="s">
        <v>1548</v>
      </c>
      <c r="H18" s="72" t="s">
        <v>1549</v>
      </c>
    </row>
    <row r="19" spans="2:8">
      <c r="B19" s="73" t="s">
        <v>1550</v>
      </c>
      <c r="C19" s="74" t="s">
        <v>1551</v>
      </c>
      <c r="D19" s="74">
        <v>1</v>
      </c>
      <c r="E19" s="85">
        <f>C17/D23</f>
        <v>-3887.2955625000004</v>
      </c>
      <c r="F19" s="85">
        <f>E19/1</f>
        <v>-3887.2955625000004</v>
      </c>
      <c r="G19" s="75">
        <f>F$19*D19</f>
        <v>-3887.2955625000004</v>
      </c>
      <c r="H19" s="76" t="s">
        <v>1552</v>
      </c>
    </row>
    <row r="20" spans="2:8">
      <c r="B20" s="73" t="s">
        <v>1550</v>
      </c>
      <c r="C20" s="74" t="s">
        <v>1551</v>
      </c>
      <c r="D20" s="74">
        <v>1</v>
      </c>
      <c r="E20" s="86"/>
      <c r="F20" s="86"/>
      <c r="G20" s="75">
        <f t="shared" ref="G20:G22" si="0">F$19*D20</f>
        <v>-3887.2955625000004</v>
      </c>
      <c r="H20" s="76" t="s">
        <v>1552</v>
      </c>
    </row>
    <row r="21" spans="2:8">
      <c r="B21" s="73" t="s">
        <v>1550</v>
      </c>
      <c r="C21" s="77" t="s">
        <v>1551</v>
      </c>
      <c r="D21" s="74">
        <v>1</v>
      </c>
      <c r="E21" s="86"/>
      <c r="F21" s="86"/>
      <c r="G21" s="75">
        <f t="shared" si="0"/>
        <v>-3887.2955625000004</v>
      </c>
      <c r="H21" s="76" t="s">
        <v>1552</v>
      </c>
    </row>
    <row r="22" spans="2:8">
      <c r="B22" s="73" t="s">
        <v>1550</v>
      </c>
      <c r="C22" s="74" t="s">
        <v>1551</v>
      </c>
      <c r="D22" s="74">
        <v>1</v>
      </c>
      <c r="E22" s="86"/>
      <c r="F22" s="86"/>
      <c r="G22" s="75">
        <f t="shared" si="0"/>
        <v>-3887.2955625000004</v>
      </c>
      <c r="H22" s="76" t="s">
        <v>1552</v>
      </c>
    </row>
    <row r="23" spans="2:8" ht="18">
      <c r="B23" s="78" t="s">
        <v>1553</v>
      </c>
      <c r="C23" s="78"/>
      <c r="D23" s="78">
        <f>SUM(D19:D22)</f>
        <v>4</v>
      </c>
      <c r="E23" s="79"/>
      <c r="F23" s="79"/>
      <c r="G23" s="80">
        <f>SUM(G19:G22)</f>
        <v>-15549.182250000002</v>
      </c>
      <c r="H23" s="81">
        <f>SUM(G23:G23)</f>
        <v>-15549.182250000002</v>
      </c>
    </row>
    <row r="37" spans="5:5" ht="15">
      <c r="E37" s="82"/>
    </row>
    <row r="38" spans="5:5" ht="15">
      <c r="E38" s="82"/>
    </row>
    <row r="39" spans="5:5" ht="15">
      <c r="E39" s="82"/>
    </row>
    <row r="40" spans="5:5" ht="15">
      <c r="E40" s="82"/>
    </row>
    <row r="41" spans="5:5" ht="15">
      <c r="E41" s="82"/>
    </row>
    <row r="42" spans="5:5" ht="15">
      <c r="E42" s="82"/>
    </row>
    <row r="43" spans="5:5" ht="15">
      <c r="E43" s="82"/>
    </row>
    <row r="44" spans="5:5" ht="15">
      <c r="E44" s="83"/>
    </row>
    <row r="45" spans="5:5" ht="15">
      <c r="E45" s="83"/>
    </row>
    <row r="46" spans="5:5" ht="15">
      <c r="E46" s="83"/>
    </row>
    <row r="47" spans="5:5" ht="15">
      <c r="E47" s="83"/>
    </row>
    <row r="48" spans="5:5" ht="15">
      <c r="E48" s="83"/>
    </row>
    <row r="49" spans="5:5" ht="15">
      <c r="E49" s="83"/>
    </row>
    <row r="50" spans="5:5" ht="15">
      <c r="E50" s="83"/>
    </row>
    <row r="51" spans="5:5" ht="15">
      <c r="E51" s="83"/>
    </row>
  </sheetData>
  <mergeCells count="3">
    <mergeCell ref="G16:G17"/>
    <mergeCell ref="E19:E22"/>
    <mergeCell ref="F19:F22"/>
  </mergeCells>
  <pageMargins left="0.75" right="0.235416666666667" top="1" bottom="1" header="0.51180555555555596" footer="0.51180555555555596"/>
  <pageSetup paperSize="9" scale="76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409"/>
  <sheetViews>
    <sheetView topLeftCell="O564" workbookViewId="0">
      <selection activeCell="X572" sqref="X572"/>
    </sheetView>
  </sheetViews>
  <sheetFormatPr defaultRowHeight="14.4"/>
  <cols>
    <col min="1" max="1" width="43.88671875" customWidth="1"/>
    <col min="2" max="2" width="10.88671875" customWidth="1"/>
    <col min="3" max="3" width="1.6640625" customWidth="1"/>
    <col min="4" max="4" width="20" customWidth="1"/>
    <col min="5" max="5" width="1.6640625" customWidth="1"/>
    <col min="6" max="6" width="21.6640625" customWidth="1"/>
    <col min="7" max="7" width="1.6640625" customWidth="1"/>
    <col min="8" max="8" width="10.88671875" customWidth="1"/>
    <col min="9" max="9" width="1.6640625" customWidth="1"/>
    <col min="10" max="10" width="23.33203125" customWidth="1"/>
    <col min="11" max="11" width="1.6640625" customWidth="1"/>
    <col min="12" max="12" width="16.6640625" customWidth="1"/>
    <col min="13" max="13" width="1.6640625" customWidth="1"/>
    <col min="14" max="14" width="36.6640625" customWidth="1"/>
    <col min="15" max="15" width="1.6640625" customWidth="1"/>
    <col min="16" max="16" width="13.33203125" customWidth="1"/>
    <col min="17" max="17" width="1.6640625" customWidth="1"/>
    <col min="18" max="18" width="35" customWidth="1"/>
    <col min="19" max="19" width="1.6640625" customWidth="1"/>
    <col min="20" max="20" width="23.33203125" customWidth="1"/>
    <col min="21" max="21" width="1.6640625" customWidth="1"/>
    <col min="22" max="22" width="13.33203125" customWidth="1"/>
    <col min="23" max="23" width="1.6640625" customWidth="1"/>
    <col min="24" max="24" width="13.33203125" customWidth="1"/>
    <col min="25" max="25" width="1.6640625" customWidth="1"/>
    <col min="26" max="26" width="13.33203125" customWidth="1"/>
    <col min="27" max="27" width="1.6640625" customWidth="1"/>
    <col min="28" max="28" width="35" customWidth="1"/>
    <col min="29" max="29" width="1.6640625" customWidth="1"/>
    <col min="30" max="30" width="20" customWidth="1"/>
    <col min="31" max="31" width="1.6640625" customWidth="1"/>
    <col min="32" max="32" width="30" customWidth="1"/>
    <col min="33" max="33" width="1.6640625" customWidth="1"/>
    <col min="34" max="34" width="15" customWidth="1"/>
    <col min="35" max="35" width="1.6640625" customWidth="1"/>
    <col min="36" max="36" width="63.33203125" customWidth="1"/>
    <col min="37" max="37" width="1.6640625" customWidth="1"/>
    <col min="38" max="38" width="11.6640625" customWidth="1"/>
    <col min="39" max="39" width="1.6640625" customWidth="1"/>
    <col min="40" max="40" width="10" customWidth="1"/>
    <col min="41" max="41" width="1.6640625" customWidth="1"/>
    <col min="42" max="42" width="11.6640625" customWidth="1"/>
    <col min="43" max="43" width="1.6640625" customWidth="1"/>
    <col min="44" max="44" width="13.33203125" customWidth="1"/>
    <col min="45" max="45" width="1.6640625" customWidth="1"/>
    <col min="46" max="46" width="21.6640625" customWidth="1"/>
    <col min="47" max="47" width="45.6640625" customWidth="1"/>
  </cols>
  <sheetData>
    <row r="1" spans="1:47" ht="33.9" customHeight="1">
      <c r="A1" s="1"/>
      <c r="B1" s="2" t="s">
        <v>0</v>
      </c>
      <c r="C1" s="1" t="s">
        <v>1</v>
      </c>
      <c r="D1" s="2" t="s">
        <v>2</v>
      </c>
      <c r="E1" s="1" t="s">
        <v>1</v>
      </c>
      <c r="F1" s="2" t="s">
        <v>3</v>
      </c>
      <c r="G1" s="1" t="s">
        <v>1</v>
      </c>
      <c r="H1" s="2" t="s">
        <v>4</v>
      </c>
      <c r="I1" s="1" t="s">
        <v>1</v>
      </c>
      <c r="J1" s="2" t="s">
        <v>5</v>
      </c>
      <c r="K1" s="1" t="s">
        <v>1</v>
      </c>
      <c r="L1" s="2" t="s">
        <v>6</v>
      </c>
      <c r="M1" s="1" t="s">
        <v>1</v>
      </c>
      <c r="N1" s="2" t="s">
        <v>7</v>
      </c>
      <c r="O1" s="1" t="s">
        <v>1</v>
      </c>
      <c r="P1" s="2" t="s">
        <v>8</v>
      </c>
      <c r="Q1" s="1" t="s">
        <v>1</v>
      </c>
      <c r="R1" s="2" t="s">
        <v>9</v>
      </c>
      <c r="S1" s="1" t="s">
        <v>1</v>
      </c>
      <c r="T1" s="2" t="s">
        <v>10</v>
      </c>
      <c r="U1" s="1" t="s">
        <v>1</v>
      </c>
      <c r="V1" s="2" t="s">
        <v>11</v>
      </c>
      <c r="W1" s="1" t="s">
        <v>1</v>
      </c>
      <c r="X1" s="2" t="s">
        <v>12</v>
      </c>
      <c r="Y1" s="1" t="s">
        <v>1</v>
      </c>
      <c r="Z1" s="2" t="s">
        <v>13</v>
      </c>
      <c r="AA1" s="1" t="s">
        <v>1</v>
      </c>
      <c r="AB1" s="2" t="s">
        <v>14</v>
      </c>
      <c r="AC1" s="1" t="s">
        <v>1</v>
      </c>
      <c r="AD1" s="2" t="s">
        <v>15</v>
      </c>
      <c r="AE1" s="1" t="s">
        <v>1</v>
      </c>
      <c r="AF1" s="2" t="s">
        <v>16</v>
      </c>
      <c r="AG1" s="1" t="s">
        <v>1</v>
      </c>
      <c r="AH1" s="2" t="s">
        <v>17</v>
      </c>
      <c r="AI1" s="1" t="s">
        <v>1</v>
      </c>
      <c r="AJ1" s="2" t="s">
        <v>18</v>
      </c>
      <c r="AK1" s="1" t="s">
        <v>1</v>
      </c>
      <c r="AL1" s="3" t="s">
        <v>19</v>
      </c>
      <c r="AM1" s="1" t="s">
        <v>1</v>
      </c>
      <c r="AN1" s="3" t="s">
        <v>20</v>
      </c>
      <c r="AO1" s="1" t="s">
        <v>1</v>
      </c>
      <c r="AP1" s="3" t="s">
        <v>21</v>
      </c>
      <c r="AQ1" s="1" t="s">
        <v>1</v>
      </c>
      <c r="AR1" s="3" t="s">
        <v>22</v>
      </c>
      <c r="AS1" s="1" t="s">
        <v>1</v>
      </c>
      <c r="AT1" s="2" t="s">
        <v>23</v>
      </c>
      <c r="AU1" s="2" t="s">
        <v>24</v>
      </c>
    </row>
    <row r="2" spans="1:47" ht="14.1" customHeight="1">
      <c r="B2" s="9">
        <v>46234</v>
      </c>
      <c r="D2" t="s">
        <v>25</v>
      </c>
      <c r="F2" t="s">
        <v>26</v>
      </c>
      <c r="H2" s="9">
        <v>46234</v>
      </c>
      <c r="J2" t="s">
        <v>27</v>
      </c>
      <c r="L2" t="s">
        <v>28</v>
      </c>
      <c r="N2" t="s">
        <v>29</v>
      </c>
      <c r="P2" t="s">
        <v>30</v>
      </c>
      <c r="R2" t="s">
        <v>31</v>
      </c>
      <c r="T2" t="s">
        <v>32</v>
      </c>
      <c r="V2" t="s">
        <v>33</v>
      </c>
      <c r="X2" t="s">
        <v>33</v>
      </c>
      <c r="Z2" t="s">
        <v>30</v>
      </c>
      <c r="AB2" t="s">
        <v>35</v>
      </c>
      <c r="AD2" t="s">
        <v>36</v>
      </c>
      <c r="AF2" t="s">
        <v>37</v>
      </c>
      <c r="AH2" t="s">
        <v>38</v>
      </c>
      <c r="AJ2" t="s">
        <v>39</v>
      </c>
      <c r="AL2">
        <v>0</v>
      </c>
      <c r="AN2">
        <v>1</v>
      </c>
      <c r="AP2">
        <v>100000</v>
      </c>
      <c r="AR2">
        <v>100000</v>
      </c>
      <c r="AT2" t="s">
        <v>40</v>
      </c>
      <c r="AU2" t="str">
        <f t="shared" ref="AU2:AU65" si="0">_xlfn.IFS(ISNUMBER(SEARCH("Interface", AJ2)), "Omset Interface", ISNUMBER(SEARCH("Normal", AJ2)), "Omset Normal", ISNUMBER(SEARCH("Mati Total", AJ2)), "Omset Mati Total", ISNUMBER(SEARCH("Promo", AJ2)), "Omset Promo", TRUE, "Omset lainnya")</f>
        <v>Omset Interface</v>
      </c>
    </row>
    <row r="3" spans="1:47" ht="23.1" customHeight="1">
      <c r="B3" s="9">
        <v>46234</v>
      </c>
      <c r="D3" t="s">
        <v>25</v>
      </c>
      <c r="F3" t="s">
        <v>26</v>
      </c>
      <c r="H3" s="9">
        <v>46234</v>
      </c>
      <c r="J3" t="s">
        <v>27</v>
      </c>
      <c r="L3" t="s">
        <v>28</v>
      </c>
      <c r="N3" t="s">
        <v>29</v>
      </c>
      <c r="P3" t="s">
        <v>30</v>
      </c>
      <c r="R3" t="s">
        <v>31</v>
      </c>
      <c r="T3" t="s">
        <v>41</v>
      </c>
      <c r="V3" t="s">
        <v>33</v>
      </c>
      <c r="X3" t="s">
        <v>33</v>
      </c>
      <c r="Z3" t="s">
        <v>30</v>
      </c>
      <c r="AB3" t="s">
        <v>35</v>
      </c>
      <c r="AD3" t="s">
        <v>36</v>
      </c>
      <c r="AF3" t="s">
        <v>37</v>
      </c>
      <c r="AH3" t="s">
        <v>42</v>
      </c>
      <c r="AJ3" t="s">
        <v>43</v>
      </c>
      <c r="AL3">
        <v>17450</v>
      </c>
      <c r="AN3">
        <v>1</v>
      </c>
      <c r="AP3">
        <v>20000</v>
      </c>
      <c r="AR3">
        <v>20000</v>
      </c>
      <c r="AT3" t="s">
        <v>40</v>
      </c>
      <c r="AU3" t="str">
        <f t="shared" si="0"/>
        <v>Omset lainnya</v>
      </c>
    </row>
    <row r="4" spans="1:47" ht="23.1" customHeight="1">
      <c r="B4" s="9">
        <v>46234</v>
      </c>
      <c r="D4" t="s">
        <v>44</v>
      </c>
      <c r="F4" t="s">
        <v>45</v>
      </c>
      <c r="H4" s="9">
        <v>46234</v>
      </c>
      <c r="J4" t="s">
        <v>27</v>
      </c>
      <c r="L4" t="s">
        <v>46</v>
      </c>
      <c r="N4" t="s">
        <v>47</v>
      </c>
      <c r="P4" t="s">
        <v>48</v>
      </c>
      <c r="R4" t="s">
        <v>31</v>
      </c>
      <c r="T4" t="s">
        <v>32</v>
      </c>
      <c r="V4" t="s">
        <v>49</v>
      </c>
      <c r="X4" t="s">
        <v>49</v>
      </c>
      <c r="Z4" t="s">
        <v>48</v>
      </c>
      <c r="AB4" t="s">
        <v>35</v>
      </c>
      <c r="AD4" t="s">
        <v>50</v>
      </c>
      <c r="AF4" t="s">
        <v>51</v>
      </c>
      <c r="AH4" t="s">
        <v>38</v>
      </c>
      <c r="AJ4" t="s">
        <v>39</v>
      </c>
      <c r="AL4">
        <v>0</v>
      </c>
      <c r="AN4">
        <v>1</v>
      </c>
      <c r="AP4">
        <v>100000</v>
      </c>
      <c r="AR4">
        <v>100000</v>
      </c>
      <c r="AU4" t="str">
        <f t="shared" si="0"/>
        <v>Omset Interface</v>
      </c>
    </row>
    <row r="5" spans="1:47" ht="23.1" customHeight="1">
      <c r="B5" s="9">
        <v>46234</v>
      </c>
      <c r="D5" t="s">
        <v>44</v>
      </c>
      <c r="F5" t="s">
        <v>45</v>
      </c>
      <c r="H5" s="9">
        <v>46234</v>
      </c>
      <c r="J5" t="s">
        <v>27</v>
      </c>
      <c r="L5" t="s">
        <v>46</v>
      </c>
      <c r="N5" t="s">
        <v>47</v>
      </c>
      <c r="P5" t="s">
        <v>48</v>
      </c>
      <c r="R5" t="s">
        <v>31</v>
      </c>
      <c r="T5" t="s">
        <v>41</v>
      </c>
      <c r="V5" t="s">
        <v>49</v>
      </c>
      <c r="X5" t="s">
        <v>49</v>
      </c>
      <c r="Z5" t="s">
        <v>48</v>
      </c>
      <c r="AB5" t="s">
        <v>35</v>
      </c>
      <c r="AD5" t="s">
        <v>50</v>
      </c>
      <c r="AF5" t="s">
        <v>51</v>
      </c>
      <c r="AH5" t="s">
        <v>42</v>
      </c>
      <c r="AJ5" t="s">
        <v>43</v>
      </c>
      <c r="AL5">
        <v>17450</v>
      </c>
      <c r="AN5">
        <v>1</v>
      </c>
      <c r="AP5">
        <v>20000</v>
      </c>
      <c r="AR5">
        <v>20000</v>
      </c>
      <c r="AU5" t="str">
        <f t="shared" si="0"/>
        <v>Omset lainnya</v>
      </c>
    </row>
    <row r="6" spans="1:47" ht="23.1" customHeight="1">
      <c r="B6" s="9">
        <v>46234</v>
      </c>
      <c r="D6" t="s">
        <v>52</v>
      </c>
      <c r="F6" t="s">
        <v>53</v>
      </c>
      <c r="H6" s="9">
        <v>46234</v>
      </c>
      <c r="J6" t="s">
        <v>54</v>
      </c>
      <c r="L6" t="s">
        <v>55</v>
      </c>
      <c r="N6" t="s">
        <v>56</v>
      </c>
      <c r="P6" t="s">
        <v>57</v>
      </c>
      <c r="R6" t="s">
        <v>31</v>
      </c>
      <c r="T6" t="s">
        <v>32</v>
      </c>
      <c r="V6" t="s">
        <v>49</v>
      </c>
      <c r="X6" t="s">
        <v>49</v>
      </c>
      <c r="Z6" t="s">
        <v>57</v>
      </c>
      <c r="AB6" t="s">
        <v>35</v>
      </c>
      <c r="AD6" t="s">
        <v>58</v>
      </c>
      <c r="AF6" t="s">
        <v>59</v>
      </c>
      <c r="AH6" t="s">
        <v>38</v>
      </c>
      <c r="AJ6" t="s">
        <v>39</v>
      </c>
      <c r="AL6">
        <v>0</v>
      </c>
      <c r="AN6">
        <v>1</v>
      </c>
      <c r="AP6">
        <v>100000</v>
      </c>
      <c r="AR6">
        <v>100000</v>
      </c>
      <c r="AU6" t="str">
        <f t="shared" si="0"/>
        <v>Omset Interface</v>
      </c>
    </row>
    <row r="7" spans="1:47" ht="23.1" customHeight="1">
      <c r="B7" s="9">
        <v>46234</v>
      </c>
      <c r="D7" t="s">
        <v>52</v>
      </c>
      <c r="F7" t="s">
        <v>53</v>
      </c>
      <c r="H7" s="9">
        <v>46234</v>
      </c>
      <c r="J7" t="s">
        <v>54</v>
      </c>
      <c r="L7" t="s">
        <v>55</v>
      </c>
      <c r="N7" t="s">
        <v>56</v>
      </c>
      <c r="P7" t="s">
        <v>57</v>
      </c>
      <c r="R7" t="s">
        <v>31</v>
      </c>
      <c r="T7" t="s">
        <v>41</v>
      </c>
      <c r="V7" t="s">
        <v>49</v>
      </c>
      <c r="X7" t="s">
        <v>49</v>
      </c>
      <c r="Z7" t="s">
        <v>57</v>
      </c>
      <c r="AB7" t="s">
        <v>35</v>
      </c>
      <c r="AD7" t="s">
        <v>58</v>
      </c>
      <c r="AF7" t="s">
        <v>59</v>
      </c>
      <c r="AH7" t="s">
        <v>42</v>
      </c>
      <c r="AJ7" t="s">
        <v>43</v>
      </c>
      <c r="AL7">
        <v>17450</v>
      </c>
      <c r="AN7">
        <v>1</v>
      </c>
      <c r="AP7">
        <v>20000</v>
      </c>
      <c r="AR7">
        <v>20000</v>
      </c>
      <c r="AU7" t="str">
        <f t="shared" si="0"/>
        <v>Omset lainnya</v>
      </c>
    </row>
    <row r="8" spans="1:47" ht="23.1" customHeight="1">
      <c r="B8" s="9">
        <v>46234</v>
      </c>
      <c r="D8" t="s">
        <v>60</v>
      </c>
      <c r="F8" t="s">
        <v>61</v>
      </c>
      <c r="H8" s="9">
        <v>46234</v>
      </c>
      <c r="J8" t="s">
        <v>27</v>
      </c>
      <c r="L8" t="s">
        <v>62</v>
      </c>
      <c r="N8" t="s">
        <v>63</v>
      </c>
      <c r="P8" t="s">
        <v>64</v>
      </c>
      <c r="R8" t="s">
        <v>31</v>
      </c>
      <c r="T8" t="s">
        <v>32</v>
      </c>
      <c r="V8" t="s">
        <v>33</v>
      </c>
      <c r="X8" t="s">
        <v>33</v>
      </c>
      <c r="Z8" t="s">
        <v>64</v>
      </c>
      <c r="AB8" t="s">
        <v>35</v>
      </c>
      <c r="AD8" t="s">
        <v>65</v>
      </c>
      <c r="AF8" t="s">
        <v>66</v>
      </c>
      <c r="AH8" t="s">
        <v>38</v>
      </c>
      <c r="AJ8" t="s">
        <v>39</v>
      </c>
      <c r="AL8">
        <v>0</v>
      </c>
      <c r="AN8">
        <v>1</v>
      </c>
      <c r="AP8">
        <v>180000</v>
      </c>
      <c r="AR8">
        <v>180000</v>
      </c>
      <c r="AU8" t="str">
        <f t="shared" si="0"/>
        <v>Omset Interface</v>
      </c>
    </row>
    <row r="9" spans="1:47" ht="23.1" customHeight="1">
      <c r="B9" s="9">
        <v>46234</v>
      </c>
      <c r="D9" t="s">
        <v>60</v>
      </c>
      <c r="F9" t="s">
        <v>61</v>
      </c>
      <c r="H9" s="9">
        <v>46234</v>
      </c>
      <c r="J9" t="s">
        <v>27</v>
      </c>
      <c r="L9" t="s">
        <v>62</v>
      </c>
      <c r="N9" t="s">
        <v>63</v>
      </c>
      <c r="P9" t="s">
        <v>64</v>
      </c>
      <c r="R9" t="s">
        <v>31</v>
      </c>
      <c r="T9" t="s">
        <v>41</v>
      </c>
      <c r="V9" t="s">
        <v>33</v>
      </c>
      <c r="X9" t="s">
        <v>33</v>
      </c>
      <c r="Z9" t="s">
        <v>64</v>
      </c>
      <c r="AB9" t="s">
        <v>35</v>
      </c>
      <c r="AD9" t="s">
        <v>65</v>
      </c>
      <c r="AF9" t="s">
        <v>66</v>
      </c>
      <c r="AH9" t="s">
        <v>42</v>
      </c>
      <c r="AJ9" t="s">
        <v>43</v>
      </c>
      <c r="AL9">
        <v>17450</v>
      </c>
      <c r="AN9">
        <v>1</v>
      </c>
      <c r="AP9">
        <v>20000</v>
      </c>
      <c r="AR9">
        <v>20000</v>
      </c>
      <c r="AU9" t="str">
        <f t="shared" si="0"/>
        <v>Omset lainnya</v>
      </c>
    </row>
    <row r="10" spans="1:47" ht="23.1" customHeight="1">
      <c r="B10" s="9">
        <v>46234</v>
      </c>
      <c r="D10" t="s">
        <v>67</v>
      </c>
      <c r="F10" t="s">
        <v>68</v>
      </c>
      <c r="H10" s="9">
        <v>46234</v>
      </c>
      <c r="J10" t="s">
        <v>54</v>
      </c>
      <c r="L10" t="s">
        <v>69</v>
      </c>
      <c r="N10" t="s">
        <v>70</v>
      </c>
      <c r="P10" t="s">
        <v>57</v>
      </c>
      <c r="R10" t="s">
        <v>31</v>
      </c>
      <c r="T10" t="s">
        <v>32</v>
      </c>
      <c r="V10" t="s">
        <v>71</v>
      </c>
      <c r="X10" t="s">
        <v>71</v>
      </c>
      <c r="Z10" t="s">
        <v>57</v>
      </c>
      <c r="AB10" t="s">
        <v>35</v>
      </c>
      <c r="AD10" t="s">
        <v>65</v>
      </c>
      <c r="AF10" t="s">
        <v>72</v>
      </c>
      <c r="AH10" t="s">
        <v>38</v>
      </c>
      <c r="AJ10" t="s">
        <v>39</v>
      </c>
      <c r="AL10">
        <v>0</v>
      </c>
      <c r="AN10">
        <v>1</v>
      </c>
      <c r="AP10">
        <v>100000</v>
      </c>
      <c r="AR10">
        <v>100000</v>
      </c>
      <c r="AU10" t="str">
        <f t="shared" si="0"/>
        <v>Omset Interface</v>
      </c>
    </row>
    <row r="11" spans="1:47" ht="23.1" customHeight="1">
      <c r="B11" s="9">
        <v>46234</v>
      </c>
      <c r="D11" t="s">
        <v>67</v>
      </c>
      <c r="F11" t="s">
        <v>68</v>
      </c>
      <c r="H11" s="9">
        <v>46234</v>
      </c>
      <c r="J11" t="s">
        <v>54</v>
      </c>
      <c r="L11" t="s">
        <v>69</v>
      </c>
      <c r="N11" t="s">
        <v>70</v>
      </c>
      <c r="P11" t="s">
        <v>57</v>
      </c>
      <c r="R11" t="s">
        <v>31</v>
      </c>
      <c r="T11" t="s">
        <v>41</v>
      </c>
      <c r="V11" t="s">
        <v>71</v>
      </c>
      <c r="X11" t="s">
        <v>71</v>
      </c>
      <c r="Z11" t="s">
        <v>57</v>
      </c>
      <c r="AB11" t="s">
        <v>35</v>
      </c>
      <c r="AD11" t="s">
        <v>65</v>
      </c>
      <c r="AF11" t="s">
        <v>72</v>
      </c>
      <c r="AH11" t="s">
        <v>42</v>
      </c>
      <c r="AJ11" t="s">
        <v>43</v>
      </c>
      <c r="AL11">
        <v>17450</v>
      </c>
      <c r="AN11">
        <v>1</v>
      </c>
      <c r="AP11">
        <v>20000</v>
      </c>
      <c r="AR11">
        <v>20000</v>
      </c>
      <c r="AU11" t="str">
        <f t="shared" si="0"/>
        <v>Omset lainnya</v>
      </c>
    </row>
    <row r="12" spans="1:47" ht="23.1" customHeight="1">
      <c r="B12" s="9">
        <v>46234</v>
      </c>
      <c r="D12" t="s">
        <v>73</v>
      </c>
      <c r="F12" t="s">
        <v>74</v>
      </c>
      <c r="H12" s="9">
        <v>46234</v>
      </c>
      <c r="J12" t="s">
        <v>54</v>
      </c>
      <c r="L12" t="s">
        <v>75</v>
      </c>
      <c r="N12" t="s">
        <v>76</v>
      </c>
      <c r="P12" t="s">
        <v>77</v>
      </c>
      <c r="R12" t="s">
        <v>31</v>
      </c>
      <c r="T12" t="s">
        <v>32</v>
      </c>
      <c r="V12" t="s">
        <v>49</v>
      </c>
      <c r="X12" t="s">
        <v>49</v>
      </c>
      <c r="Z12" t="s">
        <v>57</v>
      </c>
      <c r="AB12" t="s">
        <v>35</v>
      </c>
      <c r="AD12" t="s">
        <v>78</v>
      </c>
      <c r="AF12" t="s">
        <v>79</v>
      </c>
      <c r="AH12" t="s">
        <v>38</v>
      </c>
      <c r="AJ12" t="s">
        <v>39</v>
      </c>
      <c r="AL12">
        <v>0</v>
      </c>
      <c r="AN12">
        <v>1</v>
      </c>
      <c r="AP12">
        <v>130000</v>
      </c>
      <c r="AR12">
        <v>130000</v>
      </c>
      <c r="AU12" t="str">
        <f t="shared" si="0"/>
        <v>Omset Interface</v>
      </c>
    </row>
    <row r="13" spans="1:47" ht="23.1" customHeight="1">
      <c r="B13" s="9">
        <v>46234</v>
      </c>
      <c r="D13" t="s">
        <v>73</v>
      </c>
      <c r="F13" t="s">
        <v>74</v>
      </c>
      <c r="H13" s="9">
        <v>46234</v>
      </c>
      <c r="J13" t="s">
        <v>54</v>
      </c>
      <c r="L13" t="s">
        <v>75</v>
      </c>
      <c r="N13" t="s">
        <v>76</v>
      </c>
      <c r="P13" t="s">
        <v>77</v>
      </c>
      <c r="R13" t="s">
        <v>31</v>
      </c>
      <c r="T13" t="s">
        <v>41</v>
      </c>
      <c r="V13" t="s">
        <v>49</v>
      </c>
      <c r="X13" t="s">
        <v>49</v>
      </c>
      <c r="Z13" t="s">
        <v>57</v>
      </c>
      <c r="AB13" t="s">
        <v>35</v>
      </c>
      <c r="AD13" t="s">
        <v>78</v>
      </c>
      <c r="AF13" t="s">
        <v>79</v>
      </c>
      <c r="AH13" t="s">
        <v>42</v>
      </c>
      <c r="AJ13" t="s">
        <v>43</v>
      </c>
      <c r="AL13">
        <v>17450</v>
      </c>
      <c r="AN13">
        <v>1</v>
      </c>
      <c r="AP13">
        <v>20000</v>
      </c>
      <c r="AR13">
        <v>20000</v>
      </c>
      <c r="AU13" t="str">
        <f t="shared" si="0"/>
        <v>Omset lainnya</v>
      </c>
    </row>
    <row r="14" spans="1:47" ht="23.1" customHeight="1">
      <c r="B14" s="9">
        <v>46234</v>
      </c>
      <c r="D14" t="s">
        <v>73</v>
      </c>
      <c r="F14" t="s">
        <v>74</v>
      </c>
      <c r="H14" s="9">
        <v>46234</v>
      </c>
      <c r="J14" t="s">
        <v>54</v>
      </c>
      <c r="L14" t="s">
        <v>75</v>
      </c>
      <c r="N14" t="s">
        <v>76</v>
      </c>
      <c r="P14" t="s">
        <v>77</v>
      </c>
      <c r="R14" t="s">
        <v>31</v>
      </c>
      <c r="T14" t="s">
        <v>41</v>
      </c>
      <c r="V14" t="s">
        <v>49</v>
      </c>
      <c r="X14" t="s">
        <v>49</v>
      </c>
      <c r="Z14" t="s">
        <v>57</v>
      </c>
      <c r="AB14" t="s">
        <v>35</v>
      </c>
      <c r="AD14" t="s">
        <v>78</v>
      </c>
      <c r="AF14" t="s">
        <v>79</v>
      </c>
      <c r="AH14" t="s">
        <v>80</v>
      </c>
      <c r="AJ14" t="s">
        <v>81</v>
      </c>
      <c r="AL14">
        <v>20000</v>
      </c>
      <c r="AN14">
        <v>1</v>
      </c>
      <c r="AP14">
        <v>75000</v>
      </c>
      <c r="AR14">
        <v>75000</v>
      </c>
      <c r="AU14" t="str">
        <f t="shared" si="0"/>
        <v>Omset lainnya</v>
      </c>
    </row>
    <row r="15" spans="1:47" ht="23.1" customHeight="1">
      <c r="B15" s="9">
        <v>46234</v>
      </c>
      <c r="D15" t="s">
        <v>82</v>
      </c>
      <c r="F15" t="s">
        <v>83</v>
      </c>
      <c r="H15" s="9">
        <v>46234</v>
      </c>
      <c r="J15" t="s">
        <v>54</v>
      </c>
      <c r="L15" t="s">
        <v>84</v>
      </c>
      <c r="N15" t="s">
        <v>85</v>
      </c>
      <c r="P15" t="s">
        <v>57</v>
      </c>
      <c r="R15" t="s">
        <v>31</v>
      </c>
      <c r="T15" t="s">
        <v>32</v>
      </c>
      <c r="V15" t="s">
        <v>86</v>
      </c>
      <c r="X15" t="s">
        <v>86</v>
      </c>
      <c r="Z15" t="s">
        <v>57</v>
      </c>
      <c r="AB15" t="s">
        <v>35</v>
      </c>
      <c r="AD15" t="s">
        <v>87</v>
      </c>
      <c r="AF15" t="s">
        <v>88</v>
      </c>
      <c r="AH15" t="s">
        <v>38</v>
      </c>
      <c r="AJ15" t="s">
        <v>39</v>
      </c>
      <c r="AL15">
        <v>0</v>
      </c>
      <c r="AN15">
        <v>1</v>
      </c>
      <c r="AP15">
        <v>100000</v>
      </c>
      <c r="AR15">
        <v>100000</v>
      </c>
      <c r="AU15" t="str">
        <f t="shared" si="0"/>
        <v>Omset Interface</v>
      </c>
    </row>
    <row r="16" spans="1:47" ht="23.1" customHeight="1">
      <c r="B16" s="9">
        <v>46234</v>
      </c>
      <c r="D16" t="s">
        <v>82</v>
      </c>
      <c r="F16" t="s">
        <v>83</v>
      </c>
      <c r="H16" s="9">
        <v>46234</v>
      </c>
      <c r="J16" t="s">
        <v>54</v>
      </c>
      <c r="L16" t="s">
        <v>84</v>
      </c>
      <c r="N16" t="s">
        <v>85</v>
      </c>
      <c r="P16" t="s">
        <v>57</v>
      </c>
      <c r="R16" t="s">
        <v>31</v>
      </c>
      <c r="T16" t="s">
        <v>41</v>
      </c>
      <c r="V16" t="s">
        <v>86</v>
      </c>
      <c r="X16" t="s">
        <v>86</v>
      </c>
      <c r="Z16" t="s">
        <v>57</v>
      </c>
      <c r="AB16" t="s">
        <v>35</v>
      </c>
      <c r="AD16" t="s">
        <v>87</v>
      </c>
      <c r="AF16" t="s">
        <v>88</v>
      </c>
      <c r="AH16" t="s">
        <v>42</v>
      </c>
      <c r="AJ16" t="s">
        <v>43</v>
      </c>
      <c r="AL16">
        <v>17450</v>
      </c>
      <c r="AN16">
        <v>1</v>
      </c>
      <c r="AP16">
        <v>20000</v>
      </c>
      <c r="AR16">
        <v>20000</v>
      </c>
      <c r="AU16" t="str">
        <f t="shared" si="0"/>
        <v>Omset lainnya</v>
      </c>
    </row>
    <row r="17" spans="2:47" ht="23.1" customHeight="1">
      <c r="B17" s="9">
        <v>46240</v>
      </c>
      <c r="D17" t="s">
        <v>89</v>
      </c>
      <c r="F17" t="s">
        <v>90</v>
      </c>
      <c r="H17" s="9">
        <v>46234</v>
      </c>
      <c r="J17" t="s">
        <v>54</v>
      </c>
      <c r="L17" t="s">
        <v>91</v>
      </c>
      <c r="N17" t="s">
        <v>92</v>
      </c>
      <c r="P17" t="s">
        <v>93</v>
      </c>
      <c r="R17" t="s">
        <v>31</v>
      </c>
      <c r="T17" t="s">
        <v>94</v>
      </c>
      <c r="V17" t="s">
        <v>71</v>
      </c>
      <c r="X17" t="s">
        <v>71</v>
      </c>
      <c r="Z17" t="s">
        <v>57</v>
      </c>
      <c r="AB17" t="s">
        <v>95</v>
      </c>
      <c r="AD17" t="s">
        <v>96</v>
      </c>
      <c r="AF17" t="s">
        <v>97</v>
      </c>
      <c r="AH17" t="s">
        <v>98</v>
      </c>
      <c r="AJ17" t="s">
        <v>99</v>
      </c>
      <c r="AL17">
        <v>578812</v>
      </c>
      <c r="AN17">
        <v>1</v>
      </c>
      <c r="AP17">
        <v>700000</v>
      </c>
      <c r="AR17">
        <v>700000</v>
      </c>
      <c r="AU17" t="str">
        <f t="shared" si="0"/>
        <v>Omset lainnya</v>
      </c>
    </row>
    <row r="18" spans="2:47" ht="23.1" customHeight="1">
      <c r="B18" s="9">
        <v>46240</v>
      </c>
      <c r="D18" t="s">
        <v>100</v>
      </c>
      <c r="F18" t="s">
        <v>101</v>
      </c>
      <c r="H18" s="9">
        <v>46235</v>
      </c>
      <c r="J18" t="s">
        <v>54</v>
      </c>
      <c r="L18" t="s">
        <v>102</v>
      </c>
      <c r="N18" t="s">
        <v>103</v>
      </c>
      <c r="P18" t="s">
        <v>57</v>
      </c>
      <c r="R18" t="s">
        <v>31</v>
      </c>
      <c r="T18" t="s">
        <v>94</v>
      </c>
      <c r="V18" t="s">
        <v>49</v>
      </c>
      <c r="X18" t="s">
        <v>49</v>
      </c>
      <c r="Z18" t="s">
        <v>64</v>
      </c>
      <c r="AB18" t="s">
        <v>95</v>
      </c>
      <c r="AD18" t="s">
        <v>65</v>
      </c>
      <c r="AF18" t="s">
        <v>104</v>
      </c>
      <c r="AH18" t="s">
        <v>105</v>
      </c>
      <c r="AJ18" t="s">
        <v>106</v>
      </c>
      <c r="AL18">
        <v>100000</v>
      </c>
      <c r="AN18">
        <v>1</v>
      </c>
      <c r="AP18">
        <v>130000</v>
      </c>
      <c r="AR18">
        <v>130000</v>
      </c>
      <c r="AU18" t="str">
        <f t="shared" si="0"/>
        <v>Omset lainnya</v>
      </c>
    </row>
    <row r="19" spans="2:47" ht="23.1" customHeight="1">
      <c r="B19" s="9">
        <v>46235</v>
      </c>
      <c r="D19" t="s">
        <v>107</v>
      </c>
      <c r="F19" t="s">
        <v>108</v>
      </c>
      <c r="H19" s="9">
        <v>46235</v>
      </c>
      <c r="J19" t="s">
        <v>54</v>
      </c>
      <c r="L19" t="s">
        <v>109</v>
      </c>
      <c r="N19" t="s">
        <v>110</v>
      </c>
      <c r="P19" t="s">
        <v>77</v>
      </c>
      <c r="R19" t="s">
        <v>31</v>
      </c>
      <c r="T19" t="s">
        <v>32</v>
      </c>
      <c r="V19" t="s">
        <v>71</v>
      </c>
      <c r="X19" t="s">
        <v>71</v>
      </c>
      <c r="Z19" t="s">
        <v>77</v>
      </c>
      <c r="AB19" t="s">
        <v>111</v>
      </c>
      <c r="AD19" t="s">
        <v>112</v>
      </c>
      <c r="AF19" t="s">
        <v>113</v>
      </c>
      <c r="AH19" t="s">
        <v>114</v>
      </c>
      <c r="AJ19" t="s">
        <v>115</v>
      </c>
      <c r="AL19">
        <v>0</v>
      </c>
      <c r="AN19">
        <v>1</v>
      </c>
      <c r="AP19">
        <v>106000</v>
      </c>
      <c r="AR19">
        <v>106000</v>
      </c>
      <c r="AU19" t="str">
        <f t="shared" si="0"/>
        <v>Omset Normal</v>
      </c>
    </row>
    <row r="20" spans="2:47" ht="23.1" customHeight="1">
      <c r="B20" s="9">
        <v>46235</v>
      </c>
      <c r="D20" t="s">
        <v>107</v>
      </c>
      <c r="F20" t="s">
        <v>108</v>
      </c>
      <c r="H20" s="9">
        <v>46235</v>
      </c>
      <c r="J20" t="s">
        <v>54</v>
      </c>
      <c r="L20" t="s">
        <v>109</v>
      </c>
      <c r="N20" t="s">
        <v>110</v>
      </c>
      <c r="P20" t="s">
        <v>77</v>
      </c>
      <c r="R20" t="s">
        <v>31</v>
      </c>
      <c r="T20" t="s">
        <v>41</v>
      </c>
      <c r="V20" t="s">
        <v>71</v>
      </c>
      <c r="X20" t="s">
        <v>71</v>
      </c>
      <c r="Z20" t="s">
        <v>77</v>
      </c>
      <c r="AB20" t="s">
        <v>111</v>
      </c>
      <c r="AD20" t="s">
        <v>112</v>
      </c>
      <c r="AF20" t="s">
        <v>113</v>
      </c>
      <c r="AH20" t="s">
        <v>42</v>
      </c>
      <c r="AJ20" t="s">
        <v>43</v>
      </c>
      <c r="AL20">
        <v>17450</v>
      </c>
      <c r="AN20">
        <v>1</v>
      </c>
      <c r="AP20">
        <v>21000</v>
      </c>
      <c r="AR20">
        <v>21000</v>
      </c>
      <c r="AU20" t="str">
        <f t="shared" si="0"/>
        <v>Omset lainnya</v>
      </c>
    </row>
    <row r="21" spans="2:47" ht="23.1" customHeight="1">
      <c r="B21" s="9">
        <v>46236</v>
      </c>
      <c r="D21" t="s">
        <v>116</v>
      </c>
      <c r="F21" t="s">
        <v>117</v>
      </c>
      <c r="H21" s="9">
        <v>46235</v>
      </c>
      <c r="J21" t="s">
        <v>54</v>
      </c>
      <c r="L21" t="s">
        <v>118</v>
      </c>
      <c r="N21" t="s">
        <v>119</v>
      </c>
      <c r="P21" t="s">
        <v>57</v>
      </c>
      <c r="R21" t="s">
        <v>31</v>
      </c>
      <c r="T21" t="s">
        <v>94</v>
      </c>
      <c r="V21" t="s">
        <v>71</v>
      </c>
      <c r="X21" t="s">
        <v>71</v>
      </c>
      <c r="Z21" t="s">
        <v>77</v>
      </c>
      <c r="AB21" t="s">
        <v>95</v>
      </c>
      <c r="AD21" t="s">
        <v>65</v>
      </c>
      <c r="AF21" t="s">
        <v>120</v>
      </c>
      <c r="AH21" t="s">
        <v>121</v>
      </c>
      <c r="AJ21" t="s">
        <v>122</v>
      </c>
      <c r="AL21">
        <v>132500</v>
      </c>
      <c r="AN21">
        <v>1</v>
      </c>
      <c r="AP21">
        <v>140000</v>
      </c>
      <c r="AR21">
        <v>140000</v>
      </c>
      <c r="AU21" t="str">
        <f t="shared" si="0"/>
        <v>Omset lainnya</v>
      </c>
    </row>
    <row r="22" spans="2:47" ht="23.1" customHeight="1">
      <c r="B22" s="9">
        <v>46236</v>
      </c>
      <c r="D22" t="s">
        <v>123</v>
      </c>
      <c r="F22" t="s">
        <v>124</v>
      </c>
      <c r="H22" s="9">
        <v>46236</v>
      </c>
      <c r="J22" t="s">
        <v>54</v>
      </c>
      <c r="L22" t="s">
        <v>125</v>
      </c>
      <c r="N22" t="s">
        <v>126</v>
      </c>
      <c r="P22" t="s">
        <v>57</v>
      </c>
      <c r="R22" t="s">
        <v>31</v>
      </c>
      <c r="T22" t="s">
        <v>32</v>
      </c>
      <c r="V22" t="s">
        <v>127</v>
      </c>
      <c r="X22" t="s">
        <v>127</v>
      </c>
      <c r="Z22" t="s">
        <v>57</v>
      </c>
      <c r="AB22" t="s">
        <v>35</v>
      </c>
      <c r="AD22" t="s">
        <v>128</v>
      </c>
      <c r="AF22" t="s">
        <v>129</v>
      </c>
      <c r="AH22" t="s">
        <v>38</v>
      </c>
      <c r="AJ22" t="s">
        <v>39</v>
      </c>
      <c r="AL22">
        <v>0</v>
      </c>
      <c r="AN22">
        <v>1</v>
      </c>
      <c r="AP22">
        <v>50000</v>
      </c>
      <c r="AR22">
        <v>50000</v>
      </c>
      <c r="AU22" t="str">
        <f t="shared" si="0"/>
        <v>Omset Interface</v>
      </c>
    </row>
    <row r="23" spans="2:47" ht="23.1" customHeight="1">
      <c r="B23" s="9">
        <v>46236</v>
      </c>
      <c r="D23" t="s">
        <v>123</v>
      </c>
      <c r="F23" t="s">
        <v>124</v>
      </c>
      <c r="H23" s="9">
        <v>46236</v>
      </c>
      <c r="J23" t="s">
        <v>54</v>
      </c>
      <c r="L23" t="s">
        <v>125</v>
      </c>
      <c r="N23" t="s">
        <v>126</v>
      </c>
      <c r="P23" t="s">
        <v>57</v>
      </c>
      <c r="R23" t="s">
        <v>31</v>
      </c>
      <c r="T23" t="s">
        <v>41</v>
      </c>
      <c r="V23" t="s">
        <v>127</v>
      </c>
      <c r="X23" t="s">
        <v>127</v>
      </c>
      <c r="Z23" t="s">
        <v>57</v>
      </c>
      <c r="AB23" t="s">
        <v>35</v>
      </c>
      <c r="AD23" t="s">
        <v>128</v>
      </c>
      <c r="AF23" t="s">
        <v>129</v>
      </c>
      <c r="AH23" t="s">
        <v>80</v>
      </c>
      <c r="AJ23" t="s">
        <v>81</v>
      </c>
      <c r="AL23">
        <v>20000</v>
      </c>
      <c r="AN23">
        <v>1</v>
      </c>
      <c r="AP23">
        <v>35000</v>
      </c>
      <c r="AR23">
        <v>35000</v>
      </c>
      <c r="AU23" t="str">
        <f t="shared" si="0"/>
        <v>Omset lainnya</v>
      </c>
    </row>
    <row r="24" spans="2:47" ht="23.1" customHeight="1">
      <c r="B24" s="9">
        <v>46236</v>
      </c>
      <c r="D24" t="s">
        <v>123</v>
      </c>
      <c r="F24" t="s">
        <v>124</v>
      </c>
      <c r="H24" s="9">
        <v>46236</v>
      </c>
      <c r="J24" t="s">
        <v>54</v>
      </c>
      <c r="L24" t="s">
        <v>125</v>
      </c>
      <c r="N24" t="s">
        <v>126</v>
      </c>
      <c r="P24" t="s">
        <v>57</v>
      </c>
      <c r="R24" t="s">
        <v>31</v>
      </c>
      <c r="T24" t="s">
        <v>41</v>
      </c>
      <c r="V24" t="s">
        <v>127</v>
      </c>
      <c r="X24" t="s">
        <v>127</v>
      </c>
      <c r="Z24" t="s">
        <v>57</v>
      </c>
      <c r="AB24" t="s">
        <v>35</v>
      </c>
      <c r="AD24" t="s">
        <v>128</v>
      </c>
      <c r="AF24" t="s">
        <v>129</v>
      </c>
      <c r="AH24" t="s">
        <v>42</v>
      </c>
      <c r="AJ24" t="s">
        <v>43</v>
      </c>
      <c r="AL24">
        <v>17450</v>
      </c>
      <c r="AN24">
        <v>1</v>
      </c>
      <c r="AP24">
        <v>20000</v>
      </c>
      <c r="AR24">
        <v>20000</v>
      </c>
      <c r="AU24" t="str">
        <f t="shared" si="0"/>
        <v>Omset lainnya</v>
      </c>
    </row>
    <row r="25" spans="2:47" ht="23.1" customHeight="1">
      <c r="B25" s="9">
        <v>46255</v>
      </c>
      <c r="D25" t="s">
        <v>130</v>
      </c>
      <c r="F25" t="s">
        <v>131</v>
      </c>
      <c r="H25" s="9">
        <v>46236</v>
      </c>
      <c r="J25" t="s">
        <v>54</v>
      </c>
      <c r="L25" t="s">
        <v>132</v>
      </c>
      <c r="N25" t="s">
        <v>133</v>
      </c>
      <c r="P25" t="s">
        <v>77</v>
      </c>
      <c r="R25" t="s">
        <v>31</v>
      </c>
      <c r="T25" t="s">
        <v>94</v>
      </c>
      <c r="V25" t="s">
        <v>49</v>
      </c>
      <c r="X25" t="s">
        <v>49</v>
      </c>
      <c r="Z25" t="s">
        <v>64</v>
      </c>
      <c r="AB25" t="s">
        <v>35</v>
      </c>
      <c r="AD25" t="s">
        <v>36</v>
      </c>
      <c r="AF25" t="s">
        <v>134</v>
      </c>
      <c r="AH25" t="s">
        <v>135</v>
      </c>
      <c r="AJ25" t="s">
        <v>136</v>
      </c>
      <c r="AL25">
        <v>550000</v>
      </c>
      <c r="AN25">
        <v>1</v>
      </c>
      <c r="AP25">
        <v>555000</v>
      </c>
      <c r="AR25">
        <v>555000</v>
      </c>
      <c r="AU25" t="str">
        <f t="shared" si="0"/>
        <v>Omset lainnya</v>
      </c>
    </row>
    <row r="26" spans="2:47" ht="23.1" customHeight="1">
      <c r="B26" s="9">
        <v>46236</v>
      </c>
      <c r="D26" t="s">
        <v>137</v>
      </c>
      <c r="F26" t="s">
        <v>138</v>
      </c>
      <c r="H26" s="9">
        <v>46236</v>
      </c>
      <c r="J26" t="s">
        <v>27</v>
      </c>
      <c r="L26" t="s">
        <v>139</v>
      </c>
      <c r="N26" t="s">
        <v>140</v>
      </c>
      <c r="P26" t="s">
        <v>77</v>
      </c>
      <c r="R26" t="s">
        <v>31</v>
      </c>
      <c r="T26" t="s">
        <v>94</v>
      </c>
      <c r="V26" t="s">
        <v>49</v>
      </c>
      <c r="X26" t="s">
        <v>49</v>
      </c>
      <c r="Z26" t="s">
        <v>77</v>
      </c>
      <c r="AB26" t="s">
        <v>141</v>
      </c>
      <c r="AD26" t="s">
        <v>87</v>
      </c>
      <c r="AF26" t="s">
        <v>142</v>
      </c>
      <c r="AH26" t="s">
        <v>143</v>
      </c>
      <c r="AJ26" t="s">
        <v>144</v>
      </c>
      <c r="AL26">
        <v>30000</v>
      </c>
      <c r="AN26">
        <v>1</v>
      </c>
      <c r="AP26">
        <v>35000</v>
      </c>
      <c r="AR26">
        <v>35000</v>
      </c>
      <c r="AU26" t="str">
        <f t="shared" si="0"/>
        <v>Omset lainnya</v>
      </c>
    </row>
    <row r="27" spans="2:47" ht="23.1" customHeight="1">
      <c r="B27" s="9">
        <v>46236</v>
      </c>
      <c r="D27" t="s">
        <v>137</v>
      </c>
      <c r="F27" t="s">
        <v>138</v>
      </c>
      <c r="H27" s="9">
        <v>46236</v>
      </c>
      <c r="J27" t="s">
        <v>27</v>
      </c>
      <c r="L27" t="s">
        <v>139</v>
      </c>
      <c r="N27" t="s">
        <v>140</v>
      </c>
      <c r="P27" t="s">
        <v>77</v>
      </c>
      <c r="R27" t="s">
        <v>31</v>
      </c>
      <c r="T27" t="s">
        <v>41</v>
      </c>
      <c r="V27" t="s">
        <v>49</v>
      </c>
      <c r="X27" t="s">
        <v>49</v>
      </c>
      <c r="Z27" t="s">
        <v>77</v>
      </c>
      <c r="AB27" t="s">
        <v>141</v>
      </c>
      <c r="AD27" t="s">
        <v>87</v>
      </c>
      <c r="AF27" t="s">
        <v>142</v>
      </c>
      <c r="AH27" t="s">
        <v>42</v>
      </c>
      <c r="AJ27" t="s">
        <v>43</v>
      </c>
      <c r="AL27">
        <v>17450</v>
      </c>
      <c r="AN27">
        <v>1</v>
      </c>
      <c r="AP27">
        <v>21000</v>
      </c>
      <c r="AR27">
        <v>21000</v>
      </c>
      <c r="AU27" t="str">
        <f t="shared" si="0"/>
        <v>Omset lainnya</v>
      </c>
    </row>
    <row r="28" spans="2:47" ht="23.1" customHeight="1">
      <c r="B28" s="9">
        <v>46236</v>
      </c>
      <c r="D28" t="s">
        <v>137</v>
      </c>
      <c r="F28" t="s">
        <v>138</v>
      </c>
      <c r="H28" s="9">
        <v>46236</v>
      </c>
      <c r="J28" t="s">
        <v>27</v>
      </c>
      <c r="L28" t="s">
        <v>139</v>
      </c>
      <c r="N28" t="s">
        <v>140</v>
      </c>
      <c r="P28" t="s">
        <v>77</v>
      </c>
      <c r="R28" t="s">
        <v>31</v>
      </c>
      <c r="T28" t="s">
        <v>32</v>
      </c>
      <c r="V28" t="s">
        <v>49</v>
      </c>
      <c r="X28" t="s">
        <v>49</v>
      </c>
      <c r="Z28" t="s">
        <v>77</v>
      </c>
      <c r="AB28" t="s">
        <v>141</v>
      </c>
      <c r="AD28" t="s">
        <v>87</v>
      </c>
      <c r="AF28" t="s">
        <v>142</v>
      </c>
      <c r="AH28" t="s">
        <v>145</v>
      </c>
      <c r="AJ28" t="s">
        <v>146</v>
      </c>
      <c r="AL28">
        <v>0</v>
      </c>
      <c r="AN28">
        <v>1</v>
      </c>
      <c r="AP28">
        <v>31000</v>
      </c>
      <c r="AR28">
        <v>31000</v>
      </c>
      <c r="AU28" t="str">
        <f t="shared" si="0"/>
        <v>Omset Normal</v>
      </c>
    </row>
    <row r="29" spans="2:47" ht="23.1" customHeight="1">
      <c r="B29" s="9">
        <v>46236</v>
      </c>
      <c r="D29" t="s">
        <v>147</v>
      </c>
      <c r="F29" t="s">
        <v>148</v>
      </c>
      <c r="H29" s="9">
        <v>46236</v>
      </c>
      <c r="J29" t="s">
        <v>54</v>
      </c>
      <c r="L29" t="s">
        <v>149</v>
      </c>
      <c r="N29" t="s">
        <v>150</v>
      </c>
      <c r="P29" t="s">
        <v>57</v>
      </c>
      <c r="R29" t="s">
        <v>31</v>
      </c>
      <c r="T29" t="s">
        <v>32</v>
      </c>
      <c r="V29" t="s">
        <v>71</v>
      </c>
      <c r="X29" t="s">
        <v>71</v>
      </c>
      <c r="Z29" t="s">
        <v>57</v>
      </c>
      <c r="AB29" t="s">
        <v>95</v>
      </c>
      <c r="AD29" t="s">
        <v>36</v>
      </c>
      <c r="AF29" t="s">
        <v>151</v>
      </c>
      <c r="AH29" t="s">
        <v>152</v>
      </c>
      <c r="AJ29" t="s">
        <v>153</v>
      </c>
      <c r="AL29">
        <v>0</v>
      </c>
      <c r="AN29">
        <v>1</v>
      </c>
      <c r="AP29">
        <v>50000</v>
      </c>
      <c r="AR29">
        <v>50000</v>
      </c>
      <c r="AU29" t="str">
        <f t="shared" si="0"/>
        <v>Omset lainnya</v>
      </c>
    </row>
    <row r="30" spans="2:47" ht="23.1" customHeight="1">
      <c r="B30" s="9">
        <v>46242</v>
      </c>
      <c r="D30" t="s">
        <v>154</v>
      </c>
      <c r="F30" t="s">
        <v>155</v>
      </c>
      <c r="H30" s="9">
        <v>46235</v>
      </c>
      <c r="J30" t="s">
        <v>27</v>
      </c>
      <c r="L30" t="s">
        <v>156</v>
      </c>
      <c r="N30" t="s">
        <v>157</v>
      </c>
      <c r="P30" t="s">
        <v>64</v>
      </c>
      <c r="R30" t="s">
        <v>31</v>
      </c>
      <c r="T30" t="s">
        <v>94</v>
      </c>
      <c r="V30" t="s">
        <v>86</v>
      </c>
      <c r="X30" t="s">
        <v>86</v>
      </c>
      <c r="Z30" t="s">
        <v>57</v>
      </c>
      <c r="AB30" t="s">
        <v>95</v>
      </c>
      <c r="AD30" t="s">
        <v>65</v>
      </c>
      <c r="AF30" t="s">
        <v>158</v>
      </c>
      <c r="AH30" t="s">
        <v>159</v>
      </c>
      <c r="AJ30" t="s">
        <v>160</v>
      </c>
      <c r="AL30">
        <v>59480</v>
      </c>
      <c r="AN30">
        <v>1</v>
      </c>
      <c r="AP30">
        <v>70000</v>
      </c>
      <c r="AR30">
        <v>70000</v>
      </c>
      <c r="AU30" t="str">
        <f t="shared" si="0"/>
        <v>Omset lainnya</v>
      </c>
    </row>
    <row r="31" spans="2:47" ht="23.1" customHeight="1">
      <c r="B31" s="9">
        <v>46236</v>
      </c>
      <c r="D31" t="s">
        <v>161</v>
      </c>
      <c r="F31" t="s">
        <v>162</v>
      </c>
      <c r="H31" s="9">
        <v>46236</v>
      </c>
      <c r="J31" t="s">
        <v>54</v>
      </c>
      <c r="L31" t="s">
        <v>163</v>
      </c>
      <c r="N31" t="s">
        <v>164</v>
      </c>
      <c r="P31" t="s">
        <v>57</v>
      </c>
      <c r="R31" t="s">
        <v>31</v>
      </c>
      <c r="T31" t="s">
        <v>32</v>
      </c>
      <c r="V31" t="s">
        <v>86</v>
      </c>
      <c r="X31" t="s">
        <v>86</v>
      </c>
      <c r="Z31" t="s">
        <v>57</v>
      </c>
      <c r="AB31" t="s">
        <v>95</v>
      </c>
      <c r="AD31" t="s">
        <v>165</v>
      </c>
      <c r="AF31" t="s">
        <v>166</v>
      </c>
      <c r="AH31" t="s">
        <v>167</v>
      </c>
      <c r="AJ31" t="s">
        <v>168</v>
      </c>
      <c r="AL31">
        <v>0</v>
      </c>
      <c r="AN31">
        <v>1</v>
      </c>
      <c r="AP31">
        <v>50000</v>
      </c>
      <c r="AR31">
        <v>50000</v>
      </c>
      <c r="AU31" t="str">
        <f t="shared" si="0"/>
        <v>Omset Interface</v>
      </c>
    </row>
    <row r="32" spans="2:47" ht="23.1" customHeight="1">
      <c r="B32" s="9">
        <v>46237</v>
      </c>
      <c r="D32" t="s">
        <v>169</v>
      </c>
      <c r="F32" t="s">
        <v>170</v>
      </c>
      <c r="H32" s="9">
        <v>46234</v>
      </c>
      <c r="J32" t="s">
        <v>54</v>
      </c>
      <c r="L32" t="s">
        <v>171</v>
      </c>
      <c r="N32" t="s">
        <v>172</v>
      </c>
      <c r="P32" t="s">
        <v>93</v>
      </c>
      <c r="R32" t="s">
        <v>173</v>
      </c>
      <c r="T32" t="s">
        <v>32</v>
      </c>
      <c r="V32" t="s">
        <v>86</v>
      </c>
      <c r="X32" t="s">
        <v>86</v>
      </c>
      <c r="Z32" t="s">
        <v>57</v>
      </c>
      <c r="AB32" t="s">
        <v>95</v>
      </c>
      <c r="AD32" t="s">
        <v>112</v>
      </c>
      <c r="AF32" t="s">
        <v>174</v>
      </c>
      <c r="AH32" t="s">
        <v>152</v>
      </c>
      <c r="AJ32" t="s">
        <v>153</v>
      </c>
      <c r="AL32">
        <v>0</v>
      </c>
      <c r="AN32">
        <v>1</v>
      </c>
      <c r="AP32">
        <v>200000</v>
      </c>
      <c r="AR32">
        <v>200000</v>
      </c>
      <c r="AU32" t="str">
        <f t="shared" si="0"/>
        <v>Omset lainnya</v>
      </c>
    </row>
    <row r="33" spans="2:47" ht="23.1" customHeight="1">
      <c r="B33" s="9">
        <v>46234</v>
      </c>
      <c r="D33" t="s">
        <v>175</v>
      </c>
      <c r="F33" t="s">
        <v>176</v>
      </c>
      <c r="H33" s="9">
        <v>46234</v>
      </c>
      <c r="J33" t="s">
        <v>54</v>
      </c>
      <c r="L33" t="s">
        <v>91</v>
      </c>
      <c r="N33" t="s">
        <v>92</v>
      </c>
      <c r="P33" t="s">
        <v>93</v>
      </c>
      <c r="R33" t="s">
        <v>177</v>
      </c>
      <c r="T33" t="s">
        <v>41</v>
      </c>
      <c r="V33" t="s">
        <v>178</v>
      </c>
      <c r="X33" t="s">
        <v>178</v>
      </c>
      <c r="Z33" t="s">
        <v>93</v>
      </c>
      <c r="AB33" t="s">
        <v>178</v>
      </c>
      <c r="AD33" t="s">
        <v>78</v>
      </c>
      <c r="AF33" t="s">
        <v>179</v>
      </c>
      <c r="AH33" t="s">
        <v>180</v>
      </c>
      <c r="AJ33" t="s">
        <v>181</v>
      </c>
      <c r="AL33">
        <v>20000</v>
      </c>
      <c r="AN33">
        <v>1</v>
      </c>
      <c r="AP33">
        <v>75000</v>
      </c>
      <c r="AR33">
        <v>75000</v>
      </c>
      <c r="AU33" t="str">
        <f t="shared" si="0"/>
        <v>Omset lainnya</v>
      </c>
    </row>
    <row r="34" spans="2:47" ht="14.1" customHeight="1">
      <c r="B34" s="9">
        <v>46235</v>
      </c>
      <c r="D34" t="s">
        <v>182</v>
      </c>
      <c r="F34" t="s">
        <v>183</v>
      </c>
      <c r="H34" s="9">
        <v>46234</v>
      </c>
      <c r="J34" t="s">
        <v>27</v>
      </c>
      <c r="L34" t="s">
        <v>184</v>
      </c>
      <c r="N34" t="s">
        <v>185</v>
      </c>
      <c r="P34" t="s">
        <v>64</v>
      </c>
      <c r="R34" t="s">
        <v>31</v>
      </c>
      <c r="T34" t="s">
        <v>94</v>
      </c>
      <c r="V34" t="s">
        <v>33</v>
      </c>
      <c r="X34" t="s">
        <v>33</v>
      </c>
      <c r="Z34" t="s">
        <v>64</v>
      </c>
      <c r="AB34" t="s">
        <v>186</v>
      </c>
      <c r="AD34" t="s">
        <v>65</v>
      </c>
      <c r="AF34" t="s">
        <v>187</v>
      </c>
      <c r="AH34" t="s">
        <v>188</v>
      </c>
      <c r="AJ34" t="s">
        <v>189</v>
      </c>
      <c r="AL34">
        <v>5000</v>
      </c>
      <c r="AN34">
        <v>1</v>
      </c>
      <c r="AP34">
        <v>10000</v>
      </c>
      <c r="AR34">
        <v>10000</v>
      </c>
      <c r="AU34" t="str">
        <f t="shared" si="0"/>
        <v>Omset lainnya</v>
      </c>
    </row>
    <row r="35" spans="2:47" ht="23.1" customHeight="1">
      <c r="B35" s="9">
        <v>46235</v>
      </c>
      <c r="D35" t="s">
        <v>182</v>
      </c>
      <c r="F35" t="s">
        <v>183</v>
      </c>
      <c r="H35" s="9">
        <v>46234</v>
      </c>
      <c r="J35" t="s">
        <v>27</v>
      </c>
      <c r="L35" t="s">
        <v>184</v>
      </c>
      <c r="N35" t="s">
        <v>185</v>
      </c>
      <c r="P35" t="s">
        <v>64</v>
      </c>
      <c r="R35" t="s">
        <v>31</v>
      </c>
      <c r="T35" t="s">
        <v>94</v>
      </c>
      <c r="V35" t="s">
        <v>33</v>
      </c>
      <c r="X35" t="s">
        <v>33</v>
      </c>
      <c r="Z35" t="s">
        <v>64</v>
      </c>
      <c r="AB35" t="s">
        <v>186</v>
      </c>
      <c r="AD35" t="s">
        <v>65</v>
      </c>
      <c r="AF35" t="s">
        <v>187</v>
      </c>
      <c r="AH35" t="s">
        <v>190</v>
      </c>
      <c r="AJ35" t="s">
        <v>191</v>
      </c>
      <c r="AL35">
        <v>143000</v>
      </c>
      <c r="AN35">
        <v>1</v>
      </c>
      <c r="AP35">
        <v>150000</v>
      </c>
      <c r="AR35">
        <v>150000</v>
      </c>
      <c r="AU35" t="str">
        <f t="shared" si="0"/>
        <v>Omset lainnya</v>
      </c>
    </row>
    <row r="36" spans="2:47" ht="23.1" customHeight="1">
      <c r="B36" s="9">
        <v>46235</v>
      </c>
      <c r="D36" t="s">
        <v>182</v>
      </c>
      <c r="F36" t="s">
        <v>183</v>
      </c>
      <c r="H36" s="9">
        <v>46234</v>
      </c>
      <c r="J36" t="s">
        <v>27</v>
      </c>
      <c r="L36" t="s">
        <v>184</v>
      </c>
      <c r="N36" t="s">
        <v>185</v>
      </c>
      <c r="P36" t="s">
        <v>64</v>
      </c>
      <c r="R36" t="s">
        <v>31</v>
      </c>
      <c r="T36" t="s">
        <v>94</v>
      </c>
      <c r="V36" t="s">
        <v>33</v>
      </c>
      <c r="X36" t="s">
        <v>33</v>
      </c>
      <c r="Z36" t="s">
        <v>64</v>
      </c>
      <c r="AB36" t="s">
        <v>186</v>
      </c>
      <c r="AD36" t="s">
        <v>65</v>
      </c>
      <c r="AF36" t="s">
        <v>187</v>
      </c>
      <c r="AH36" t="s">
        <v>192</v>
      </c>
      <c r="AJ36" t="s">
        <v>193</v>
      </c>
      <c r="AL36">
        <v>112500</v>
      </c>
      <c r="AN36">
        <v>1</v>
      </c>
      <c r="AP36">
        <v>120000</v>
      </c>
      <c r="AR36">
        <v>120000</v>
      </c>
      <c r="AU36" t="str">
        <f t="shared" si="0"/>
        <v>Omset lainnya</v>
      </c>
    </row>
    <row r="37" spans="2:47" ht="23.1" customHeight="1">
      <c r="B37" s="9">
        <v>46235</v>
      </c>
      <c r="D37" t="s">
        <v>194</v>
      </c>
      <c r="F37" t="s">
        <v>195</v>
      </c>
      <c r="H37" s="9">
        <v>46235</v>
      </c>
      <c r="J37" t="s">
        <v>54</v>
      </c>
      <c r="L37" t="s">
        <v>196</v>
      </c>
      <c r="N37" t="s">
        <v>197</v>
      </c>
      <c r="P37" t="s">
        <v>57</v>
      </c>
      <c r="R37" t="s">
        <v>31</v>
      </c>
      <c r="T37" t="s">
        <v>32</v>
      </c>
      <c r="V37" t="s">
        <v>86</v>
      </c>
      <c r="X37" t="s">
        <v>86</v>
      </c>
      <c r="Z37" t="s">
        <v>57</v>
      </c>
      <c r="AB37" t="s">
        <v>35</v>
      </c>
      <c r="AD37" t="s">
        <v>65</v>
      </c>
      <c r="AF37" t="s">
        <v>198</v>
      </c>
      <c r="AH37" t="s">
        <v>38</v>
      </c>
      <c r="AJ37" t="s">
        <v>39</v>
      </c>
      <c r="AL37">
        <v>0</v>
      </c>
      <c r="AN37">
        <v>1</v>
      </c>
      <c r="AP37">
        <v>75000</v>
      </c>
      <c r="AR37">
        <v>75000</v>
      </c>
      <c r="AU37" t="str">
        <f t="shared" si="0"/>
        <v>Omset Interface</v>
      </c>
    </row>
    <row r="38" spans="2:47" ht="23.1" customHeight="1">
      <c r="B38" s="9">
        <v>46235</v>
      </c>
      <c r="D38" t="s">
        <v>194</v>
      </c>
      <c r="F38" t="s">
        <v>195</v>
      </c>
      <c r="H38" s="9">
        <v>46235</v>
      </c>
      <c r="J38" t="s">
        <v>54</v>
      </c>
      <c r="L38" t="s">
        <v>196</v>
      </c>
      <c r="N38" t="s">
        <v>197</v>
      </c>
      <c r="P38" t="s">
        <v>57</v>
      </c>
      <c r="R38" t="s">
        <v>31</v>
      </c>
      <c r="T38" t="s">
        <v>41</v>
      </c>
      <c r="V38" t="s">
        <v>86</v>
      </c>
      <c r="X38" t="s">
        <v>86</v>
      </c>
      <c r="Z38" t="s">
        <v>57</v>
      </c>
      <c r="AB38" t="s">
        <v>35</v>
      </c>
      <c r="AD38" t="s">
        <v>65</v>
      </c>
      <c r="AF38" t="s">
        <v>198</v>
      </c>
      <c r="AH38" t="s">
        <v>80</v>
      </c>
      <c r="AJ38" t="s">
        <v>81</v>
      </c>
      <c r="AL38">
        <v>20000</v>
      </c>
      <c r="AN38">
        <v>1</v>
      </c>
      <c r="AP38">
        <v>35000</v>
      </c>
      <c r="AR38">
        <v>35000</v>
      </c>
      <c r="AU38" t="str">
        <f t="shared" si="0"/>
        <v>Omset lainnya</v>
      </c>
    </row>
    <row r="39" spans="2:47" ht="23.1" customHeight="1">
      <c r="B39" s="9">
        <v>46235</v>
      </c>
      <c r="D39" t="s">
        <v>194</v>
      </c>
      <c r="F39" t="s">
        <v>195</v>
      </c>
      <c r="H39" s="9">
        <v>46235</v>
      </c>
      <c r="J39" t="s">
        <v>54</v>
      </c>
      <c r="L39" t="s">
        <v>196</v>
      </c>
      <c r="N39" t="s">
        <v>197</v>
      </c>
      <c r="P39" t="s">
        <v>57</v>
      </c>
      <c r="R39" t="s">
        <v>31</v>
      </c>
      <c r="T39" t="s">
        <v>41</v>
      </c>
      <c r="V39" t="s">
        <v>86</v>
      </c>
      <c r="X39" t="s">
        <v>86</v>
      </c>
      <c r="Z39" t="s">
        <v>57</v>
      </c>
      <c r="AB39" t="s">
        <v>35</v>
      </c>
      <c r="AD39" t="s">
        <v>65</v>
      </c>
      <c r="AF39" t="s">
        <v>198</v>
      </c>
      <c r="AH39" t="s">
        <v>42</v>
      </c>
      <c r="AJ39" t="s">
        <v>43</v>
      </c>
      <c r="AL39">
        <v>17450</v>
      </c>
      <c r="AN39">
        <v>1</v>
      </c>
      <c r="AP39">
        <v>20000</v>
      </c>
      <c r="AR39">
        <v>20000</v>
      </c>
      <c r="AU39" t="str">
        <f t="shared" si="0"/>
        <v>Omset lainnya</v>
      </c>
    </row>
    <row r="40" spans="2:47" ht="23.1" customHeight="1">
      <c r="B40" s="9">
        <v>46236</v>
      </c>
      <c r="D40" t="s">
        <v>116</v>
      </c>
      <c r="F40" t="s">
        <v>117</v>
      </c>
      <c r="H40" s="9">
        <v>46235</v>
      </c>
      <c r="J40" t="s">
        <v>54</v>
      </c>
      <c r="L40" t="s">
        <v>118</v>
      </c>
      <c r="N40" t="s">
        <v>119</v>
      </c>
      <c r="P40" t="s">
        <v>57</v>
      </c>
      <c r="R40" t="s">
        <v>31</v>
      </c>
      <c r="T40" t="s">
        <v>32</v>
      </c>
      <c r="V40" t="s">
        <v>71</v>
      </c>
      <c r="X40" t="s">
        <v>71</v>
      </c>
      <c r="Z40" t="s">
        <v>77</v>
      </c>
      <c r="AB40" t="s">
        <v>95</v>
      </c>
      <c r="AD40" t="s">
        <v>65</v>
      </c>
      <c r="AF40" t="s">
        <v>120</v>
      </c>
      <c r="AH40" t="s">
        <v>38</v>
      </c>
      <c r="AJ40" t="s">
        <v>39</v>
      </c>
      <c r="AL40">
        <v>0</v>
      </c>
      <c r="AN40">
        <v>1</v>
      </c>
      <c r="AP40">
        <v>89000</v>
      </c>
      <c r="AR40">
        <v>89000</v>
      </c>
      <c r="AU40" t="str">
        <f t="shared" si="0"/>
        <v>Omset Interface</v>
      </c>
    </row>
    <row r="41" spans="2:47" ht="23.1" customHeight="1">
      <c r="B41" s="9">
        <v>46235</v>
      </c>
      <c r="D41" t="s">
        <v>199</v>
      </c>
      <c r="F41" t="s">
        <v>200</v>
      </c>
      <c r="H41" s="9">
        <v>46234</v>
      </c>
      <c r="J41" t="s">
        <v>27</v>
      </c>
      <c r="L41" t="s">
        <v>201</v>
      </c>
      <c r="N41" t="s">
        <v>202</v>
      </c>
      <c r="P41" t="s">
        <v>64</v>
      </c>
      <c r="R41" t="s">
        <v>31</v>
      </c>
      <c r="T41" t="s">
        <v>32</v>
      </c>
      <c r="V41" t="s">
        <v>127</v>
      </c>
      <c r="X41" t="s">
        <v>127</v>
      </c>
      <c r="Z41" t="s">
        <v>64</v>
      </c>
      <c r="AB41" t="s">
        <v>35</v>
      </c>
      <c r="AD41" t="s">
        <v>36</v>
      </c>
      <c r="AF41" t="s">
        <v>203</v>
      </c>
      <c r="AH41" t="s">
        <v>38</v>
      </c>
      <c r="AJ41" t="s">
        <v>39</v>
      </c>
      <c r="AL41">
        <v>0</v>
      </c>
      <c r="AN41">
        <v>1</v>
      </c>
      <c r="AP41">
        <v>95000</v>
      </c>
      <c r="AR41">
        <v>95000</v>
      </c>
      <c r="AU41" t="str">
        <f t="shared" si="0"/>
        <v>Omset Interface</v>
      </c>
    </row>
    <row r="42" spans="2:47" ht="23.1" customHeight="1">
      <c r="B42" s="9">
        <v>46235</v>
      </c>
      <c r="D42" t="s">
        <v>199</v>
      </c>
      <c r="F42" t="s">
        <v>200</v>
      </c>
      <c r="H42" s="9">
        <v>46234</v>
      </c>
      <c r="J42" t="s">
        <v>27</v>
      </c>
      <c r="L42" t="s">
        <v>201</v>
      </c>
      <c r="N42" t="s">
        <v>202</v>
      </c>
      <c r="P42" t="s">
        <v>64</v>
      </c>
      <c r="R42" t="s">
        <v>31</v>
      </c>
      <c r="T42" t="s">
        <v>41</v>
      </c>
      <c r="V42" t="s">
        <v>127</v>
      </c>
      <c r="X42" t="s">
        <v>127</v>
      </c>
      <c r="Z42" t="s">
        <v>64</v>
      </c>
      <c r="AB42" t="s">
        <v>35</v>
      </c>
      <c r="AD42" t="s">
        <v>36</v>
      </c>
      <c r="AF42" t="s">
        <v>203</v>
      </c>
      <c r="AH42" t="s">
        <v>180</v>
      </c>
      <c r="AJ42" t="s">
        <v>181</v>
      </c>
      <c r="AL42">
        <v>20000</v>
      </c>
      <c r="AN42">
        <v>1</v>
      </c>
      <c r="AP42">
        <v>35000</v>
      </c>
      <c r="AR42">
        <v>35000</v>
      </c>
      <c r="AU42" t="str">
        <f t="shared" si="0"/>
        <v>Omset lainnya</v>
      </c>
    </row>
    <row r="43" spans="2:47" ht="23.1" customHeight="1">
      <c r="B43" s="9">
        <v>46236</v>
      </c>
      <c r="D43" t="s">
        <v>204</v>
      </c>
      <c r="F43" t="s">
        <v>205</v>
      </c>
      <c r="H43" s="9">
        <v>46236</v>
      </c>
      <c r="J43" t="s">
        <v>54</v>
      </c>
      <c r="L43" t="s">
        <v>206</v>
      </c>
      <c r="N43" t="s">
        <v>207</v>
      </c>
      <c r="P43" t="s">
        <v>57</v>
      </c>
      <c r="R43" t="s">
        <v>31</v>
      </c>
      <c r="T43" t="s">
        <v>32</v>
      </c>
      <c r="V43" t="s">
        <v>49</v>
      </c>
      <c r="X43" t="s">
        <v>49</v>
      </c>
      <c r="Z43" t="s">
        <v>57</v>
      </c>
      <c r="AB43" t="s">
        <v>35</v>
      </c>
      <c r="AD43" t="s">
        <v>65</v>
      </c>
      <c r="AF43" t="s">
        <v>208</v>
      </c>
      <c r="AH43" t="s">
        <v>38</v>
      </c>
      <c r="AJ43" t="s">
        <v>39</v>
      </c>
      <c r="AL43">
        <v>0</v>
      </c>
      <c r="AN43">
        <v>1</v>
      </c>
      <c r="AP43">
        <v>100000</v>
      </c>
      <c r="AR43">
        <v>100000</v>
      </c>
      <c r="AU43" t="str">
        <f t="shared" si="0"/>
        <v>Omset Interface</v>
      </c>
    </row>
    <row r="44" spans="2:47" ht="23.1" customHeight="1">
      <c r="B44" s="9">
        <v>46236</v>
      </c>
      <c r="D44" t="s">
        <v>204</v>
      </c>
      <c r="F44" t="s">
        <v>205</v>
      </c>
      <c r="H44" s="9">
        <v>46236</v>
      </c>
      <c r="J44" t="s">
        <v>54</v>
      </c>
      <c r="L44" t="s">
        <v>206</v>
      </c>
      <c r="N44" t="s">
        <v>207</v>
      </c>
      <c r="P44" t="s">
        <v>57</v>
      </c>
      <c r="R44" t="s">
        <v>31</v>
      </c>
      <c r="T44" t="s">
        <v>32</v>
      </c>
      <c r="V44" t="s">
        <v>49</v>
      </c>
      <c r="X44" t="s">
        <v>49</v>
      </c>
      <c r="Z44" t="s">
        <v>57</v>
      </c>
      <c r="AB44" t="s">
        <v>35</v>
      </c>
      <c r="AD44" t="s">
        <v>65</v>
      </c>
      <c r="AF44" t="s">
        <v>208</v>
      </c>
      <c r="AH44" t="s">
        <v>114</v>
      </c>
      <c r="AJ44" t="s">
        <v>115</v>
      </c>
      <c r="AL44">
        <v>0</v>
      </c>
      <c r="AN44">
        <v>1</v>
      </c>
      <c r="AP44">
        <v>145000</v>
      </c>
      <c r="AR44">
        <v>145000</v>
      </c>
      <c r="AU44" t="str">
        <f t="shared" si="0"/>
        <v>Omset Normal</v>
      </c>
    </row>
    <row r="45" spans="2:47" ht="23.1" customHeight="1">
      <c r="B45" s="9">
        <v>46236</v>
      </c>
      <c r="D45" t="s">
        <v>204</v>
      </c>
      <c r="F45" t="s">
        <v>205</v>
      </c>
      <c r="H45" s="9">
        <v>46236</v>
      </c>
      <c r="J45" t="s">
        <v>54</v>
      </c>
      <c r="L45" t="s">
        <v>206</v>
      </c>
      <c r="N45" t="s">
        <v>207</v>
      </c>
      <c r="P45" t="s">
        <v>57</v>
      </c>
      <c r="R45" t="s">
        <v>31</v>
      </c>
      <c r="T45" t="s">
        <v>41</v>
      </c>
      <c r="V45" t="s">
        <v>49</v>
      </c>
      <c r="X45" t="s">
        <v>49</v>
      </c>
      <c r="Z45" t="s">
        <v>57</v>
      </c>
      <c r="AB45" t="s">
        <v>35</v>
      </c>
      <c r="AD45" t="s">
        <v>65</v>
      </c>
      <c r="AF45" t="s">
        <v>208</v>
      </c>
      <c r="AH45" t="s">
        <v>42</v>
      </c>
      <c r="AJ45" t="s">
        <v>43</v>
      </c>
      <c r="AL45">
        <v>17450</v>
      </c>
      <c r="AN45">
        <v>1</v>
      </c>
      <c r="AP45">
        <v>20000</v>
      </c>
      <c r="AR45">
        <v>20000</v>
      </c>
      <c r="AU45" t="str">
        <f t="shared" si="0"/>
        <v>Omset lainnya</v>
      </c>
    </row>
    <row r="46" spans="2:47" ht="23.1" customHeight="1">
      <c r="B46" s="9">
        <v>46237</v>
      </c>
      <c r="D46" t="s">
        <v>209</v>
      </c>
      <c r="F46" t="s">
        <v>210</v>
      </c>
      <c r="H46" s="9">
        <v>46236</v>
      </c>
      <c r="J46" t="s">
        <v>54</v>
      </c>
      <c r="L46" t="s">
        <v>211</v>
      </c>
      <c r="N46" t="s">
        <v>212</v>
      </c>
      <c r="P46" t="s">
        <v>57</v>
      </c>
      <c r="R46" t="s">
        <v>31</v>
      </c>
      <c r="T46" t="s">
        <v>94</v>
      </c>
      <c r="V46" t="s">
        <v>86</v>
      </c>
      <c r="X46" t="s">
        <v>86</v>
      </c>
      <c r="Z46" t="s">
        <v>64</v>
      </c>
      <c r="AB46" t="s">
        <v>35</v>
      </c>
      <c r="AD46" t="s">
        <v>58</v>
      </c>
      <c r="AF46" t="s">
        <v>213</v>
      </c>
      <c r="AH46" t="s">
        <v>214</v>
      </c>
      <c r="AJ46" t="s">
        <v>215</v>
      </c>
      <c r="AL46">
        <v>148000</v>
      </c>
      <c r="AN46">
        <v>1</v>
      </c>
      <c r="AP46">
        <v>149000</v>
      </c>
      <c r="AR46">
        <v>149000</v>
      </c>
      <c r="AU46" t="str">
        <f t="shared" si="0"/>
        <v>Omset lainnya</v>
      </c>
    </row>
    <row r="47" spans="2:47" ht="23.1" customHeight="1">
      <c r="B47" s="9">
        <v>46236</v>
      </c>
      <c r="D47" t="s">
        <v>216</v>
      </c>
      <c r="F47" t="s">
        <v>217</v>
      </c>
      <c r="H47" s="9">
        <v>46236</v>
      </c>
      <c r="J47" t="s">
        <v>54</v>
      </c>
      <c r="L47" t="s">
        <v>218</v>
      </c>
      <c r="N47" t="s">
        <v>219</v>
      </c>
      <c r="P47" t="s">
        <v>57</v>
      </c>
      <c r="R47" t="s">
        <v>31</v>
      </c>
      <c r="T47" t="s">
        <v>94</v>
      </c>
      <c r="V47" t="s">
        <v>49</v>
      </c>
      <c r="X47" t="s">
        <v>49</v>
      </c>
      <c r="Z47" t="s">
        <v>57</v>
      </c>
      <c r="AB47" t="s">
        <v>35</v>
      </c>
      <c r="AD47" t="s">
        <v>87</v>
      </c>
      <c r="AF47" t="s">
        <v>220</v>
      </c>
      <c r="AH47" t="s">
        <v>221</v>
      </c>
      <c r="AJ47" t="s">
        <v>222</v>
      </c>
      <c r="AL47">
        <v>177000</v>
      </c>
      <c r="AN47">
        <v>1</v>
      </c>
      <c r="AP47">
        <v>195000</v>
      </c>
      <c r="AR47">
        <v>195000</v>
      </c>
      <c r="AU47" t="str">
        <f t="shared" si="0"/>
        <v>Omset lainnya</v>
      </c>
    </row>
    <row r="48" spans="2:47" ht="23.1" customHeight="1">
      <c r="B48" s="9">
        <v>46236</v>
      </c>
      <c r="D48" t="s">
        <v>204</v>
      </c>
      <c r="F48" t="s">
        <v>205</v>
      </c>
      <c r="H48" s="9">
        <v>46236</v>
      </c>
      <c r="J48" t="s">
        <v>54</v>
      </c>
      <c r="L48" t="s">
        <v>206</v>
      </c>
      <c r="N48" t="s">
        <v>207</v>
      </c>
      <c r="P48" t="s">
        <v>57</v>
      </c>
      <c r="R48" t="s">
        <v>31</v>
      </c>
      <c r="T48" t="s">
        <v>94</v>
      </c>
      <c r="V48" t="s">
        <v>49</v>
      </c>
      <c r="X48" t="s">
        <v>49</v>
      </c>
      <c r="Z48" t="s">
        <v>57</v>
      </c>
      <c r="AB48" t="s">
        <v>35</v>
      </c>
      <c r="AD48" t="s">
        <v>65</v>
      </c>
      <c r="AF48" t="s">
        <v>208</v>
      </c>
      <c r="AH48" t="s">
        <v>223</v>
      </c>
      <c r="AJ48" t="s">
        <v>224</v>
      </c>
      <c r="AL48">
        <v>20000</v>
      </c>
      <c r="AN48">
        <v>1</v>
      </c>
      <c r="AP48">
        <v>25000</v>
      </c>
      <c r="AR48">
        <v>25000</v>
      </c>
      <c r="AU48" t="str">
        <f t="shared" si="0"/>
        <v>Omset lainnya</v>
      </c>
    </row>
    <row r="49" spans="2:47" ht="23.1" customHeight="1">
      <c r="B49" s="9">
        <v>46237</v>
      </c>
      <c r="D49" t="s">
        <v>225</v>
      </c>
      <c r="F49" t="s">
        <v>226</v>
      </c>
      <c r="H49" s="9">
        <v>46236</v>
      </c>
      <c r="J49" t="s">
        <v>54</v>
      </c>
      <c r="L49" t="s">
        <v>227</v>
      </c>
      <c r="N49" t="s">
        <v>185</v>
      </c>
      <c r="P49" t="s">
        <v>57</v>
      </c>
      <c r="R49" t="s">
        <v>31</v>
      </c>
      <c r="T49" t="s">
        <v>94</v>
      </c>
      <c r="V49" t="s">
        <v>86</v>
      </c>
      <c r="X49" t="s">
        <v>86</v>
      </c>
      <c r="Z49" t="s">
        <v>57</v>
      </c>
      <c r="AB49" t="s">
        <v>35</v>
      </c>
      <c r="AD49" t="s">
        <v>87</v>
      </c>
      <c r="AF49" t="s">
        <v>228</v>
      </c>
      <c r="AH49" t="s">
        <v>221</v>
      </c>
      <c r="AJ49" t="s">
        <v>222</v>
      </c>
      <c r="AL49">
        <v>177000</v>
      </c>
      <c r="AN49">
        <v>1</v>
      </c>
      <c r="AP49">
        <v>80000</v>
      </c>
      <c r="AR49">
        <v>80000</v>
      </c>
      <c r="AU49" t="str">
        <f t="shared" si="0"/>
        <v>Omset lainnya</v>
      </c>
    </row>
    <row r="50" spans="2:47" ht="33.9" customHeight="1">
      <c r="B50" s="9">
        <v>46236</v>
      </c>
      <c r="D50" t="s">
        <v>123</v>
      </c>
      <c r="F50" t="s">
        <v>124</v>
      </c>
      <c r="H50" s="9">
        <v>46236</v>
      </c>
      <c r="J50" t="s">
        <v>54</v>
      </c>
      <c r="L50" t="s">
        <v>125</v>
      </c>
      <c r="N50" t="s">
        <v>126</v>
      </c>
      <c r="P50" t="s">
        <v>57</v>
      </c>
      <c r="R50" t="s">
        <v>31</v>
      </c>
      <c r="T50" t="s">
        <v>94</v>
      </c>
      <c r="V50" t="s">
        <v>127</v>
      </c>
      <c r="X50" t="s">
        <v>127</v>
      </c>
      <c r="Z50" t="s">
        <v>57</v>
      </c>
      <c r="AB50" t="s">
        <v>35</v>
      </c>
      <c r="AD50" t="s">
        <v>128</v>
      </c>
      <c r="AF50" t="s">
        <v>129</v>
      </c>
      <c r="AH50" t="s">
        <v>229</v>
      </c>
      <c r="AJ50" t="s">
        <v>230</v>
      </c>
      <c r="AL50">
        <v>155000</v>
      </c>
      <c r="AN50">
        <v>1</v>
      </c>
      <c r="AP50">
        <v>160000</v>
      </c>
      <c r="AR50">
        <v>160000</v>
      </c>
      <c r="AU50" t="str">
        <f t="shared" si="0"/>
        <v>Omset lainnya</v>
      </c>
    </row>
    <row r="51" spans="2:47" ht="23.1" customHeight="1">
      <c r="B51" s="9">
        <v>46237</v>
      </c>
      <c r="D51" t="s">
        <v>225</v>
      </c>
      <c r="F51" t="s">
        <v>226</v>
      </c>
      <c r="H51" s="9">
        <v>46236</v>
      </c>
      <c r="J51" t="s">
        <v>54</v>
      </c>
      <c r="L51" t="s">
        <v>227</v>
      </c>
      <c r="N51" t="s">
        <v>185</v>
      </c>
      <c r="P51" t="s">
        <v>57</v>
      </c>
      <c r="R51" t="s">
        <v>31</v>
      </c>
      <c r="T51" t="s">
        <v>32</v>
      </c>
      <c r="V51" t="s">
        <v>86</v>
      </c>
      <c r="X51" t="s">
        <v>86</v>
      </c>
      <c r="Z51" t="s">
        <v>57</v>
      </c>
      <c r="AB51" t="s">
        <v>35</v>
      </c>
      <c r="AD51" t="s">
        <v>87</v>
      </c>
      <c r="AF51" t="s">
        <v>228</v>
      </c>
      <c r="AH51" t="s">
        <v>38</v>
      </c>
      <c r="AJ51" t="s">
        <v>39</v>
      </c>
      <c r="AL51">
        <v>0</v>
      </c>
      <c r="AN51">
        <v>1</v>
      </c>
      <c r="AP51">
        <v>230000</v>
      </c>
      <c r="AR51">
        <v>230000</v>
      </c>
      <c r="AU51" t="str">
        <f t="shared" si="0"/>
        <v>Omset Interface</v>
      </c>
    </row>
    <row r="52" spans="2:47" ht="23.1" customHeight="1">
      <c r="B52" s="9">
        <v>46237</v>
      </c>
      <c r="D52" t="s">
        <v>231</v>
      </c>
      <c r="F52" t="s">
        <v>232</v>
      </c>
      <c r="H52" s="9">
        <v>46237</v>
      </c>
      <c r="J52" t="s">
        <v>54</v>
      </c>
      <c r="L52" t="s">
        <v>233</v>
      </c>
      <c r="N52" t="s">
        <v>234</v>
      </c>
      <c r="P52" t="s">
        <v>57</v>
      </c>
      <c r="R52" t="s">
        <v>31</v>
      </c>
      <c r="T52" t="s">
        <v>32</v>
      </c>
      <c r="V52" t="s">
        <v>127</v>
      </c>
      <c r="X52" t="s">
        <v>127</v>
      </c>
      <c r="Z52" t="s">
        <v>57</v>
      </c>
      <c r="AB52" t="s">
        <v>111</v>
      </c>
      <c r="AD52" t="s">
        <v>65</v>
      </c>
      <c r="AF52" t="s">
        <v>235</v>
      </c>
      <c r="AH52" t="s">
        <v>236</v>
      </c>
      <c r="AJ52" t="s">
        <v>237</v>
      </c>
      <c r="AL52">
        <v>0</v>
      </c>
      <c r="AN52">
        <v>1</v>
      </c>
      <c r="AP52">
        <v>46000</v>
      </c>
      <c r="AR52">
        <v>46000</v>
      </c>
      <c r="AU52" t="str">
        <f t="shared" si="0"/>
        <v>Omset Normal</v>
      </c>
    </row>
    <row r="53" spans="2:47" ht="23.1" customHeight="1">
      <c r="B53" s="9">
        <v>46237</v>
      </c>
      <c r="D53" t="s">
        <v>231</v>
      </c>
      <c r="F53" t="s">
        <v>232</v>
      </c>
      <c r="H53" s="9">
        <v>46237</v>
      </c>
      <c r="J53" t="s">
        <v>54</v>
      </c>
      <c r="L53" t="s">
        <v>233</v>
      </c>
      <c r="N53" t="s">
        <v>234</v>
      </c>
      <c r="P53" t="s">
        <v>57</v>
      </c>
      <c r="R53" t="s">
        <v>31</v>
      </c>
      <c r="T53" t="s">
        <v>41</v>
      </c>
      <c r="V53" t="s">
        <v>127</v>
      </c>
      <c r="X53" t="s">
        <v>127</v>
      </c>
      <c r="Z53" t="s">
        <v>57</v>
      </c>
      <c r="AB53" t="s">
        <v>111</v>
      </c>
      <c r="AD53" t="s">
        <v>65</v>
      </c>
      <c r="AF53" t="s">
        <v>235</v>
      </c>
      <c r="AH53" t="s">
        <v>42</v>
      </c>
      <c r="AJ53" t="s">
        <v>43</v>
      </c>
      <c r="AL53">
        <v>17450</v>
      </c>
      <c r="AN53">
        <v>1</v>
      </c>
      <c r="AP53">
        <v>20000</v>
      </c>
      <c r="AR53">
        <v>20000</v>
      </c>
      <c r="AU53" t="str">
        <f t="shared" si="0"/>
        <v>Omset lainnya</v>
      </c>
    </row>
    <row r="54" spans="2:47" ht="23.1" customHeight="1">
      <c r="B54" s="9">
        <v>46237</v>
      </c>
      <c r="D54" t="s">
        <v>238</v>
      </c>
      <c r="F54" t="s">
        <v>239</v>
      </c>
      <c r="H54" s="9">
        <v>46237</v>
      </c>
      <c r="J54" t="s">
        <v>27</v>
      </c>
      <c r="L54" t="s">
        <v>240</v>
      </c>
      <c r="N54" t="s">
        <v>241</v>
      </c>
      <c r="P54" t="s">
        <v>64</v>
      </c>
      <c r="R54" t="s">
        <v>31</v>
      </c>
      <c r="T54" t="s">
        <v>32</v>
      </c>
      <c r="V54" t="s">
        <v>127</v>
      </c>
      <c r="X54" t="s">
        <v>127</v>
      </c>
      <c r="Z54" t="s">
        <v>64</v>
      </c>
      <c r="AB54" t="s">
        <v>35</v>
      </c>
      <c r="AD54" t="s">
        <v>128</v>
      </c>
      <c r="AF54" t="s">
        <v>242</v>
      </c>
      <c r="AH54" t="s">
        <v>38</v>
      </c>
      <c r="AJ54" t="s">
        <v>39</v>
      </c>
      <c r="AL54">
        <v>0</v>
      </c>
      <c r="AN54">
        <v>1</v>
      </c>
      <c r="AP54">
        <v>85000</v>
      </c>
      <c r="AR54">
        <v>85000</v>
      </c>
      <c r="AT54" t="s">
        <v>64</v>
      </c>
      <c r="AU54" t="str">
        <f t="shared" si="0"/>
        <v>Omset Interface</v>
      </c>
    </row>
    <row r="55" spans="2:47" ht="23.1" customHeight="1">
      <c r="B55" s="9">
        <v>46237</v>
      </c>
      <c r="D55" t="s">
        <v>238</v>
      </c>
      <c r="F55" t="s">
        <v>239</v>
      </c>
      <c r="H55" s="9">
        <v>46237</v>
      </c>
      <c r="J55" t="s">
        <v>27</v>
      </c>
      <c r="L55" t="s">
        <v>240</v>
      </c>
      <c r="N55" t="s">
        <v>241</v>
      </c>
      <c r="P55" t="s">
        <v>64</v>
      </c>
      <c r="R55" t="s">
        <v>31</v>
      </c>
      <c r="T55" t="s">
        <v>41</v>
      </c>
      <c r="V55" t="s">
        <v>127</v>
      </c>
      <c r="X55" t="s">
        <v>127</v>
      </c>
      <c r="Z55" t="s">
        <v>64</v>
      </c>
      <c r="AB55" t="s">
        <v>35</v>
      </c>
      <c r="AD55" t="s">
        <v>128</v>
      </c>
      <c r="AF55" t="s">
        <v>242</v>
      </c>
      <c r="AH55" t="s">
        <v>180</v>
      </c>
      <c r="AJ55" t="s">
        <v>181</v>
      </c>
      <c r="AL55">
        <v>20000</v>
      </c>
      <c r="AN55">
        <v>1</v>
      </c>
      <c r="AP55">
        <v>35000</v>
      </c>
      <c r="AR55">
        <v>35000</v>
      </c>
      <c r="AT55" t="s">
        <v>64</v>
      </c>
      <c r="AU55" t="str">
        <f t="shared" si="0"/>
        <v>Omset lainnya</v>
      </c>
    </row>
    <row r="56" spans="2:47" ht="23.1" customHeight="1">
      <c r="B56" s="9">
        <v>46237</v>
      </c>
      <c r="D56" t="s">
        <v>238</v>
      </c>
      <c r="F56" t="s">
        <v>239</v>
      </c>
      <c r="H56" s="9">
        <v>46237</v>
      </c>
      <c r="J56" t="s">
        <v>27</v>
      </c>
      <c r="L56" t="s">
        <v>240</v>
      </c>
      <c r="N56" t="s">
        <v>241</v>
      </c>
      <c r="P56" t="s">
        <v>64</v>
      </c>
      <c r="R56" t="s">
        <v>31</v>
      </c>
      <c r="T56" t="s">
        <v>41</v>
      </c>
      <c r="V56" t="s">
        <v>127</v>
      </c>
      <c r="X56" t="s">
        <v>127</v>
      </c>
      <c r="Z56" t="s">
        <v>64</v>
      </c>
      <c r="AB56" t="s">
        <v>35</v>
      </c>
      <c r="AD56" t="s">
        <v>128</v>
      </c>
      <c r="AF56" t="s">
        <v>242</v>
      </c>
      <c r="AH56" t="s">
        <v>42</v>
      </c>
      <c r="AJ56" t="s">
        <v>43</v>
      </c>
      <c r="AL56">
        <v>17450</v>
      </c>
      <c r="AN56">
        <v>1</v>
      </c>
      <c r="AP56">
        <v>20000</v>
      </c>
      <c r="AR56">
        <v>20000</v>
      </c>
      <c r="AT56" t="s">
        <v>64</v>
      </c>
      <c r="AU56" t="str">
        <f t="shared" si="0"/>
        <v>Omset lainnya</v>
      </c>
    </row>
    <row r="57" spans="2:47" ht="23.1" customHeight="1">
      <c r="B57" s="9">
        <v>46237</v>
      </c>
      <c r="D57" t="s">
        <v>243</v>
      </c>
      <c r="F57" t="s">
        <v>244</v>
      </c>
      <c r="H57" s="9">
        <v>46237</v>
      </c>
      <c r="J57" t="s">
        <v>27</v>
      </c>
      <c r="L57" t="s">
        <v>245</v>
      </c>
      <c r="N57" t="s">
        <v>246</v>
      </c>
      <c r="P57" t="s">
        <v>77</v>
      </c>
      <c r="R57" t="s">
        <v>31</v>
      </c>
      <c r="T57" t="s">
        <v>32</v>
      </c>
      <c r="V57" t="s">
        <v>49</v>
      </c>
      <c r="X57" t="s">
        <v>49</v>
      </c>
      <c r="Z57" t="s">
        <v>57</v>
      </c>
      <c r="AB57" t="s">
        <v>35</v>
      </c>
      <c r="AD57" t="s">
        <v>36</v>
      </c>
      <c r="AF57" t="s">
        <v>247</v>
      </c>
      <c r="AH57" t="s">
        <v>38</v>
      </c>
      <c r="AJ57" t="s">
        <v>39</v>
      </c>
      <c r="AL57">
        <v>0</v>
      </c>
      <c r="AN57">
        <v>1</v>
      </c>
      <c r="AP57">
        <v>121000</v>
      </c>
      <c r="AR57">
        <v>121000</v>
      </c>
      <c r="AU57" t="str">
        <f t="shared" si="0"/>
        <v>Omset Interface</v>
      </c>
    </row>
    <row r="58" spans="2:47" ht="23.1" customHeight="1">
      <c r="B58" s="9">
        <v>46253</v>
      </c>
      <c r="D58" t="s">
        <v>248</v>
      </c>
      <c r="F58" t="s">
        <v>249</v>
      </c>
      <c r="H58" s="9">
        <v>46237</v>
      </c>
      <c r="J58" t="s">
        <v>27</v>
      </c>
      <c r="L58" t="s">
        <v>250</v>
      </c>
      <c r="N58" t="s">
        <v>251</v>
      </c>
      <c r="P58" t="s">
        <v>64</v>
      </c>
      <c r="R58" t="s">
        <v>31</v>
      </c>
      <c r="T58" t="s">
        <v>94</v>
      </c>
      <c r="V58" t="s">
        <v>127</v>
      </c>
      <c r="X58" t="s">
        <v>127</v>
      </c>
      <c r="Z58" t="s">
        <v>64</v>
      </c>
      <c r="AB58" t="s">
        <v>111</v>
      </c>
      <c r="AD58" t="s">
        <v>36</v>
      </c>
      <c r="AF58" t="s">
        <v>252</v>
      </c>
      <c r="AH58" t="s">
        <v>253</v>
      </c>
      <c r="AJ58" t="s">
        <v>254</v>
      </c>
      <c r="AL58">
        <v>88000</v>
      </c>
      <c r="AN58">
        <v>2</v>
      </c>
      <c r="AP58">
        <v>50000</v>
      </c>
      <c r="AR58">
        <v>100000</v>
      </c>
      <c r="AU58" t="str">
        <f t="shared" si="0"/>
        <v>Omset lainnya</v>
      </c>
    </row>
    <row r="59" spans="2:47" ht="23.1" customHeight="1">
      <c r="B59" s="9">
        <v>46253</v>
      </c>
      <c r="D59" t="s">
        <v>248</v>
      </c>
      <c r="F59" t="s">
        <v>249</v>
      </c>
      <c r="H59" s="9">
        <v>46237</v>
      </c>
      <c r="J59" t="s">
        <v>27</v>
      </c>
      <c r="L59" t="s">
        <v>250</v>
      </c>
      <c r="N59" t="s">
        <v>251</v>
      </c>
      <c r="P59" t="s">
        <v>64</v>
      </c>
      <c r="R59" t="s">
        <v>31</v>
      </c>
      <c r="T59" t="s">
        <v>94</v>
      </c>
      <c r="V59" t="s">
        <v>127</v>
      </c>
      <c r="X59" t="s">
        <v>127</v>
      </c>
      <c r="Z59" t="s">
        <v>64</v>
      </c>
      <c r="AB59" t="s">
        <v>111</v>
      </c>
      <c r="AD59" t="s">
        <v>36</v>
      </c>
      <c r="AF59" t="s">
        <v>252</v>
      </c>
      <c r="AH59" t="s">
        <v>255</v>
      </c>
      <c r="AJ59" t="s">
        <v>256</v>
      </c>
      <c r="AL59">
        <v>40000</v>
      </c>
      <c r="AN59">
        <v>1</v>
      </c>
      <c r="AP59">
        <v>45000</v>
      </c>
      <c r="AR59">
        <v>45000</v>
      </c>
      <c r="AU59" t="str">
        <f t="shared" si="0"/>
        <v>Omset lainnya</v>
      </c>
    </row>
    <row r="60" spans="2:47" ht="23.1" customHeight="1">
      <c r="B60" s="9">
        <v>46237</v>
      </c>
      <c r="D60" t="s">
        <v>243</v>
      </c>
      <c r="F60" t="s">
        <v>244</v>
      </c>
      <c r="H60" s="9">
        <v>46237</v>
      </c>
      <c r="J60" t="s">
        <v>27</v>
      </c>
      <c r="L60" t="s">
        <v>245</v>
      </c>
      <c r="N60" t="s">
        <v>246</v>
      </c>
      <c r="P60" t="s">
        <v>77</v>
      </c>
      <c r="R60" t="s">
        <v>31</v>
      </c>
      <c r="T60" t="s">
        <v>94</v>
      </c>
      <c r="V60" t="s">
        <v>49</v>
      </c>
      <c r="X60" t="s">
        <v>49</v>
      </c>
      <c r="Z60" t="s">
        <v>57</v>
      </c>
      <c r="AB60" t="s">
        <v>35</v>
      </c>
      <c r="AD60" t="s">
        <v>36</v>
      </c>
      <c r="AF60" t="s">
        <v>247</v>
      </c>
      <c r="AH60" t="s">
        <v>257</v>
      </c>
      <c r="AJ60" t="s">
        <v>258</v>
      </c>
      <c r="AL60">
        <v>140000</v>
      </c>
      <c r="AN60">
        <v>1</v>
      </c>
      <c r="AP60">
        <v>154000</v>
      </c>
      <c r="AR60">
        <v>154000</v>
      </c>
      <c r="AU60" t="str">
        <f t="shared" si="0"/>
        <v>Omset lainnya</v>
      </c>
    </row>
    <row r="61" spans="2:47" ht="23.1" customHeight="1">
      <c r="B61" s="9">
        <v>46238</v>
      </c>
      <c r="D61" t="s">
        <v>259</v>
      </c>
      <c r="F61" t="s">
        <v>260</v>
      </c>
      <c r="H61" s="9">
        <v>46238</v>
      </c>
      <c r="J61" t="s">
        <v>27</v>
      </c>
      <c r="L61" t="s">
        <v>261</v>
      </c>
      <c r="N61" t="s">
        <v>92</v>
      </c>
      <c r="P61" t="s">
        <v>57</v>
      </c>
      <c r="R61" t="s">
        <v>31</v>
      </c>
      <c r="T61" t="s">
        <v>32</v>
      </c>
      <c r="V61" t="s">
        <v>86</v>
      </c>
      <c r="X61" t="s">
        <v>86</v>
      </c>
      <c r="Z61" t="s">
        <v>57</v>
      </c>
      <c r="AB61" t="s">
        <v>35</v>
      </c>
      <c r="AD61" t="s">
        <v>50</v>
      </c>
      <c r="AF61" t="s">
        <v>262</v>
      </c>
      <c r="AH61" t="s">
        <v>38</v>
      </c>
      <c r="AJ61" t="s">
        <v>39</v>
      </c>
      <c r="AL61">
        <v>0</v>
      </c>
      <c r="AN61">
        <v>1</v>
      </c>
      <c r="AP61">
        <v>60000</v>
      </c>
      <c r="AR61">
        <v>60000</v>
      </c>
      <c r="AU61" t="str">
        <f t="shared" si="0"/>
        <v>Omset Interface</v>
      </c>
    </row>
    <row r="62" spans="2:47" ht="23.1" customHeight="1">
      <c r="B62" s="9">
        <v>46238</v>
      </c>
      <c r="D62" t="s">
        <v>259</v>
      </c>
      <c r="F62" t="s">
        <v>260</v>
      </c>
      <c r="H62" s="9">
        <v>46238</v>
      </c>
      <c r="J62" t="s">
        <v>27</v>
      </c>
      <c r="L62" t="s">
        <v>261</v>
      </c>
      <c r="N62" t="s">
        <v>92</v>
      </c>
      <c r="P62" t="s">
        <v>57</v>
      </c>
      <c r="R62" t="s">
        <v>31</v>
      </c>
      <c r="T62" t="s">
        <v>41</v>
      </c>
      <c r="V62" t="s">
        <v>86</v>
      </c>
      <c r="X62" t="s">
        <v>86</v>
      </c>
      <c r="Z62" t="s">
        <v>57</v>
      </c>
      <c r="AB62" t="s">
        <v>35</v>
      </c>
      <c r="AD62" t="s">
        <v>50</v>
      </c>
      <c r="AF62" t="s">
        <v>262</v>
      </c>
      <c r="AH62" t="s">
        <v>42</v>
      </c>
      <c r="AJ62" t="s">
        <v>43</v>
      </c>
      <c r="AL62">
        <v>17450</v>
      </c>
      <c r="AN62">
        <v>1</v>
      </c>
      <c r="AP62">
        <v>20000</v>
      </c>
      <c r="AR62">
        <v>20000</v>
      </c>
      <c r="AU62" t="str">
        <f t="shared" si="0"/>
        <v>Omset lainnya</v>
      </c>
    </row>
    <row r="63" spans="2:47" ht="23.1" customHeight="1">
      <c r="B63" s="9">
        <v>46238</v>
      </c>
      <c r="D63" t="s">
        <v>259</v>
      </c>
      <c r="F63" t="s">
        <v>260</v>
      </c>
      <c r="H63" s="9">
        <v>46238</v>
      </c>
      <c r="J63" t="s">
        <v>27</v>
      </c>
      <c r="L63" t="s">
        <v>261</v>
      </c>
      <c r="N63" t="s">
        <v>92</v>
      </c>
      <c r="P63" t="s">
        <v>57</v>
      </c>
      <c r="R63" t="s">
        <v>31</v>
      </c>
      <c r="T63" t="s">
        <v>41</v>
      </c>
      <c r="V63" t="s">
        <v>86</v>
      </c>
      <c r="X63" t="s">
        <v>86</v>
      </c>
      <c r="Z63" t="s">
        <v>57</v>
      </c>
      <c r="AB63" t="s">
        <v>35</v>
      </c>
      <c r="AD63" t="s">
        <v>50</v>
      </c>
      <c r="AF63" t="s">
        <v>262</v>
      </c>
      <c r="AH63" t="s">
        <v>80</v>
      </c>
      <c r="AJ63" t="s">
        <v>81</v>
      </c>
      <c r="AL63">
        <v>20000</v>
      </c>
      <c r="AN63">
        <v>1</v>
      </c>
      <c r="AP63">
        <v>20000</v>
      </c>
      <c r="AR63">
        <v>20000</v>
      </c>
      <c r="AU63" t="str">
        <f t="shared" si="0"/>
        <v>Omset lainnya</v>
      </c>
    </row>
    <row r="64" spans="2:47" ht="23.1" customHeight="1">
      <c r="B64" s="9">
        <v>46234</v>
      </c>
      <c r="D64" t="s">
        <v>263</v>
      </c>
      <c r="F64" t="s">
        <v>264</v>
      </c>
      <c r="H64" s="9">
        <v>46234</v>
      </c>
      <c r="J64" t="s">
        <v>54</v>
      </c>
      <c r="L64" t="s">
        <v>171</v>
      </c>
      <c r="N64" t="s">
        <v>172</v>
      </c>
      <c r="P64" t="s">
        <v>93</v>
      </c>
      <c r="R64" t="s">
        <v>31</v>
      </c>
      <c r="T64" t="s">
        <v>32</v>
      </c>
      <c r="V64" t="s">
        <v>86</v>
      </c>
      <c r="X64" t="s">
        <v>86</v>
      </c>
      <c r="Z64" t="s">
        <v>57</v>
      </c>
      <c r="AB64" t="s">
        <v>35</v>
      </c>
      <c r="AD64" t="s">
        <v>112</v>
      </c>
      <c r="AF64" t="s">
        <v>265</v>
      </c>
      <c r="AH64" t="s">
        <v>38</v>
      </c>
      <c r="AJ64" t="s">
        <v>39</v>
      </c>
      <c r="AL64">
        <v>0</v>
      </c>
      <c r="AN64">
        <v>1</v>
      </c>
      <c r="AP64">
        <v>90000</v>
      </c>
      <c r="AR64">
        <v>90000</v>
      </c>
      <c r="AU64" t="str">
        <f t="shared" si="0"/>
        <v>Omset Interface</v>
      </c>
    </row>
    <row r="65" spans="2:47" ht="23.1" customHeight="1">
      <c r="B65" s="9">
        <v>46234</v>
      </c>
      <c r="D65" t="s">
        <v>263</v>
      </c>
      <c r="F65" t="s">
        <v>264</v>
      </c>
      <c r="H65" s="9">
        <v>46234</v>
      </c>
      <c r="J65" t="s">
        <v>54</v>
      </c>
      <c r="L65" t="s">
        <v>171</v>
      </c>
      <c r="N65" t="s">
        <v>172</v>
      </c>
      <c r="P65" t="s">
        <v>93</v>
      </c>
      <c r="R65" t="s">
        <v>31</v>
      </c>
      <c r="T65" t="s">
        <v>41</v>
      </c>
      <c r="V65" t="s">
        <v>86</v>
      </c>
      <c r="X65" t="s">
        <v>86</v>
      </c>
      <c r="Z65" t="s">
        <v>57</v>
      </c>
      <c r="AB65" t="s">
        <v>35</v>
      </c>
      <c r="AD65" t="s">
        <v>112</v>
      </c>
      <c r="AF65" t="s">
        <v>265</v>
      </c>
      <c r="AH65" t="s">
        <v>42</v>
      </c>
      <c r="AJ65" t="s">
        <v>43</v>
      </c>
      <c r="AL65">
        <v>17450</v>
      </c>
      <c r="AN65">
        <v>1</v>
      </c>
      <c r="AP65">
        <v>20000</v>
      </c>
      <c r="AR65">
        <v>20000</v>
      </c>
      <c r="AU65" t="str">
        <f t="shared" si="0"/>
        <v>Omset lainnya</v>
      </c>
    </row>
    <row r="66" spans="2:47" ht="23.1" customHeight="1">
      <c r="B66" s="9">
        <v>46235</v>
      </c>
      <c r="D66" t="s">
        <v>266</v>
      </c>
      <c r="F66" t="s">
        <v>267</v>
      </c>
      <c r="H66" s="9">
        <v>46235</v>
      </c>
      <c r="J66" t="s">
        <v>54</v>
      </c>
      <c r="L66" t="s">
        <v>102</v>
      </c>
      <c r="N66" t="s">
        <v>103</v>
      </c>
      <c r="P66" t="s">
        <v>57</v>
      </c>
      <c r="R66" t="s">
        <v>31</v>
      </c>
      <c r="T66" t="s">
        <v>32</v>
      </c>
      <c r="V66" t="s">
        <v>49</v>
      </c>
      <c r="X66" t="s">
        <v>49</v>
      </c>
      <c r="Z66" t="s">
        <v>57</v>
      </c>
      <c r="AB66" t="s">
        <v>268</v>
      </c>
      <c r="AD66" t="s">
        <v>36</v>
      </c>
      <c r="AF66" t="s">
        <v>269</v>
      </c>
      <c r="AH66" t="s">
        <v>270</v>
      </c>
      <c r="AJ66" t="s">
        <v>271</v>
      </c>
      <c r="AL66">
        <v>0</v>
      </c>
      <c r="AN66">
        <v>1</v>
      </c>
      <c r="AP66">
        <v>120000</v>
      </c>
      <c r="AR66">
        <v>120000</v>
      </c>
      <c r="AU66" t="str">
        <f t="shared" ref="AU66:AU129" si="1">_xlfn.IFS(ISNUMBER(SEARCH("Interface", AJ66)), "Omset Interface", ISNUMBER(SEARCH("Normal", AJ66)), "Omset Normal", ISNUMBER(SEARCH("Mati Total", AJ66)), "Omset Mati Total", ISNUMBER(SEARCH("Promo", AJ66)), "Omset Promo", TRUE, "Omset lainnya")</f>
        <v>Omset Interface</v>
      </c>
    </row>
    <row r="67" spans="2:47" ht="23.1" customHeight="1">
      <c r="B67" s="9">
        <v>46235</v>
      </c>
      <c r="D67" t="s">
        <v>266</v>
      </c>
      <c r="F67" t="s">
        <v>267</v>
      </c>
      <c r="H67" s="9">
        <v>46235</v>
      </c>
      <c r="J67" t="s">
        <v>54</v>
      </c>
      <c r="L67" t="s">
        <v>102</v>
      </c>
      <c r="N67" t="s">
        <v>103</v>
      </c>
      <c r="P67" t="s">
        <v>57</v>
      </c>
      <c r="R67" t="s">
        <v>31</v>
      </c>
      <c r="T67" t="s">
        <v>41</v>
      </c>
      <c r="V67" t="s">
        <v>49</v>
      </c>
      <c r="X67" t="s">
        <v>49</v>
      </c>
      <c r="Z67" t="s">
        <v>57</v>
      </c>
      <c r="AB67" t="s">
        <v>268</v>
      </c>
      <c r="AD67" t="s">
        <v>36</v>
      </c>
      <c r="AF67" t="s">
        <v>269</v>
      </c>
      <c r="AH67" t="s">
        <v>42</v>
      </c>
      <c r="AJ67" t="s">
        <v>43</v>
      </c>
      <c r="AL67">
        <v>17450</v>
      </c>
      <c r="AN67">
        <v>1</v>
      </c>
      <c r="AP67">
        <v>20000</v>
      </c>
      <c r="AR67">
        <v>20000</v>
      </c>
      <c r="AU67" t="str">
        <f t="shared" si="1"/>
        <v>Omset lainnya</v>
      </c>
    </row>
    <row r="68" spans="2:47" ht="23.1" customHeight="1">
      <c r="B68" s="9">
        <v>46235</v>
      </c>
      <c r="D68" t="s">
        <v>182</v>
      </c>
      <c r="F68" t="s">
        <v>183</v>
      </c>
      <c r="H68" s="9">
        <v>46234</v>
      </c>
      <c r="J68" t="s">
        <v>27</v>
      </c>
      <c r="L68" t="s">
        <v>184</v>
      </c>
      <c r="N68" t="s">
        <v>185</v>
      </c>
      <c r="P68" t="s">
        <v>64</v>
      </c>
      <c r="R68" t="s">
        <v>31</v>
      </c>
      <c r="T68" t="s">
        <v>32</v>
      </c>
      <c r="V68" t="s">
        <v>33</v>
      </c>
      <c r="X68" t="s">
        <v>33</v>
      </c>
      <c r="Z68" t="s">
        <v>64</v>
      </c>
      <c r="AB68" t="s">
        <v>186</v>
      </c>
      <c r="AD68" t="s">
        <v>65</v>
      </c>
      <c r="AF68" t="s">
        <v>187</v>
      </c>
      <c r="AH68" t="s">
        <v>38</v>
      </c>
      <c r="AJ68" t="s">
        <v>39</v>
      </c>
      <c r="AL68">
        <v>0</v>
      </c>
      <c r="AN68">
        <v>1</v>
      </c>
      <c r="AP68">
        <v>100000</v>
      </c>
      <c r="AR68">
        <v>100000</v>
      </c>
      <c r="AU68" t="str">
        <f t="shared" si="1"/>
        <v>Omset Interface</v>
      </c>
    </row>
    <row r="69" spans="2:47" ht="23.1" customHeight="1">
      <c r="B69" s="9">
        <v>46235</v>
      </c>
      <c r="D69" t="s">
        <v>182</v>
      </c>
      <c r="F69" t="s">
        <v>183</v>
      </c>
      <c r="H69" s="9">
        <v>46234</v>
      </c>
      <c r="J69" t="s">
        <v>27</v>
      </c>
      <c r="L69" t="s">
        <v>184</v>
      </c>
      <c r="N69" t="s">
        <v>185</v>
      </c>
      <c r="P69" t="s">
        <v>64</v>
      </c>
      <c r="R69" t="s">
        <v>31</v>
      </c>
      <c r="T69" t="s">
        <v>41</v>
      </c>
      <c r="V69" t="s">
        <v>33</v>
      </c>
      <c r="X69" t="s">
        <v>33</v>
      </c>
      <c r="Z69" t="s">
        <v>64</v>
      </c>
      <c r="AB69" t="s">
        <v>186</v>
      </c>
      <c r="AD69" t="s">
        <v>65</v>
      </c>
      <c r="AF69" t="s">
        <v>187</v>
      </c>
      <c r="AH69" t="s">
        <v>42</v>
      </c>
      <c r="AJ69" t="s">
        <v>43</v>
      </c>
      <c r="AL69">
        <v>17450</v>
      </c>
      <c r="AN69">
        <v>1</v>
      </c>
      <c r="AP69">
        <v>20000</v>
      </c>
      <c r="AR69">
        <v>20000</v>
      </c>
      <c r="AU69" t="str">
        <f t="shared" si="1"/>
        <v>Omset lainnya</v>
      </c>
    </row>
    <row r="70" spans="2:47" ht="23.1" customHeight="1">
      <c r="B70" s="9">
        <v>46237</v>
      </c>
      <c r="D70" t="s">
        <v>169</v>
      </c>
      <c r="F70" t="s">
        <v>170</v>
      </c>
      <c r="H70" s="9">
        <v>46234</v>
      </c>
      <c r="J70" t="s">
        <v>54</v>
      </c>
      <c r="L70" t="s">
        <v>171</v>
      </c>
      <c r="N70" t="s">
        <v>172</v>
      </c>
      <c r="P70" t="s">
        <v>93</v>
      </c>
      <c r="R70" t="s">
        <v>173</v>
      </c>
      <c r="T70" t="s">
        <v>94</v>
      </c>
      <c r="V70" t="s">
        <v>86</v>
      </c>
      <c r="X70" t="s">
        <v>86</v>
      </c>
      <c r="Z70" t="s">
        <v>57</v>
      </c>
      <c r="AB70" t="s">
        <v>95</v>
      </c>
      <c r="AD70" t="s">
        <v>112</v>
      </c>
      <c r="AF70" t="s">
        <v>174</v>
      </c>
      <c r="AH70" t="s">
        <v>272</v>
      </c>
      <c r="AJ70" t="s">
        <v>273</v>
      </c>
      <c r="AL70">
        <v>159210</v>
      </c>
      <c r="AN70">
        <v>1</v>
      </c>
      <c r="AP70">
        <v>180000</v>
      </c>
      <c r="AR70">
        <v>180000</v>
      </c>
      <c r="AU70" t="str">
        <f t="shared" si="1"/>
        <v>Omset lainnya</v>
      </c>
    </row>
    <row r="71" spans="2:47" ht="23.1" customHeight="1">
      <c r="B71" s="9">
        <v>46235</v>
      </c>
      <c r="D71" t="s">
        <v>274</v>
      </c>
      <c r="F71" t="s">
        <v>275</v>
      </c>
      <c r="H71" s="9">
        <v>46235</v>
      </c>
      <c r="J71" t="s">
        <v>54</v>
      </c>
      <c r="L71" t="s">
        <v>276</v>
      </c>
      <c r="N71" t="s">
        <v>277</v>
      </c>
      <c r="P71" t="s">
        <v>77</v>
      </c>
      <c r="R71" t="s">
        <v>31</v>
      </c>
      <c r="T71" t="s">
        <v>32</v>
      </c>
      <c r="V71" t="s">
        <v>33</v>
      </c>
      <c r="X71" t="s">
        <v>33</v>
      </c>
      <c r="Z71" t="s">
        <v>64</v>
      </c>
      <c r="AB71" t="s">
        <v>35</v>
      </c>
      <c r="AD71" t="s">
        <v>65</v>
      </c>
      <c r="AF71" t="s">
        <v>278</v>
      </c>
      <c r="AH71" t="s">
        <v>38</v>
      </c>
      <c r="AJ71" t="s">
        <v>39</v>
      </c>
      <c r="AL71">
        <v>0</v>
      </c>
      <c r="AN71">
        <v>1</v>
      </c>
      <c r="AP71">
        <v>55000</v>
      </c>
      <c r="AR71">
        <v>55000</v>
      </c>
      <c r="AU71" t="str">
        <f t="shared" si="1"/>
        <v>Omset Interface</v>
      </c>
    </row>
    <row r="72" spans="2:47" ht="23.1" customHeight="1">
      <c r="B72" s="9">
        <v>46235</v>
      </c>
      <c r="D72" t="s">
        <v>274</v>
      </c>
      <c r="F72" t="s">
        <v>275</v>
      </c>
      <c r="H72" s="9">
        <v>46235</v>
      </c>
      <c r="J72" t="s">
        <v>54</v>
      </c>
      <c r="L72" t="s">
        <v>276</v>
      </c>
      <c r="N72" t="s">
        <v>277</v>
      </c>
      <c r="P72" t="s">
        <v>77</v>
      </c>
      <c r="R72" t="s">
        <v>31</v>
      </c>
      <c r="T72" t="s">
        <v>41</v>
      </c>
      <c r="V72" t="s">
        <v>33</v>
      </c>
      <c r="X72" t="s">
        <v>33</v>
      </c>
      <c r="Z72" t="s">
        <v>64</v>
      </c>
      <c r="AB72" t="s">
        <v>35</v>
      </c>
      <c r="AD72" t="s">
        <v>65</v>
      </c>
      <c r="AF72" t="s">
        <v>278</v>
      </c>
      <c r="AH72" t="s">
        <v>180</v>
      </c>
      <c r="AJ72" t="s">
        <v>181</v>
      </c>
      <c r="AL72">
        <v>60000</v>
      </c>
      <c r="AN72">
        <v>3</v>
      </c>
      <c r="AP72">
        <v>25000</v>
      </c>
      <c r="AR72">
        <v>75000</v>
      </c>
      <c r="AU72" t="str">
        <f t="shared" si="1"/>
        <v>Omset lainnya</v>
      </c>
    </row>
    <row r="73" spans="2:47" ht="23.1" customHeight="1">
      <c r="B73" s="9">
        <v>46235</v>
      </c>
      <c r="D73" t="s">
        <v>274</v>
      </c>
      <c r="F73" t="s">
        <v>275</v>
      </c>
      <c r="H73" s="9">
        <v>46235</v>
      </c>
      <c r="J73" t="s">
        <v>54</v>
      </c>
      <c r="L73" t="s">
        <v>276</v>
      </c>
      <c r="N73" t="s">
        <v>277</v>
      </c>
      <c r="P73" t="s">
        <v>77</v>
      </c>
      <c r="R73" t="s">
        <v>31</v>
      </c>
      <c r="T73" t="s">
        <v>41</v>
      </c>
      <c r="V73" t="s">
        <v>33</v>
      </c>
      <c r="X73" t="s">
        <v>33</v>
      </c>
      <c r="Z73" t="s">
        <v>64</v>
      </c>
      <c r="AB73" t="s">
        <v>35</v>
      </c>
      <c r="AD73" t="s">
        <v>65</v>
      </c>
      <c r="AF73" t="s">
        <v>278</v>
      </c>
      <c r="AH73" t="s">
        <v>42</v>
      </c>
      <c r="AJ73" t="s">
        <v>43</v>
      </c>
      <c r="AL73">
        <v>17450</v>
      </c>
      <c r="AN73">
        <v>1</v>
      </c>
      <c r="AP73">
        <v>20000</v>
      </c>
      <c r="AR73">
        <v>20000</v>
      </c>
      <c r="AU73" t="str">
        <f t="shared" si="1"/>
        <v>Omset lainnya</v>
      </c>
    </row>
    <row r="74" spans="2:47" ht="23.1" customHeight="1">
      <c r="B74" s="9">
        <v>46235</v>
      </c>
      <c r="D74" t="s">
        <v>279</v>
      </c>
      <c r="F74" t="s">
        <v>280</v>
      </c>
      <c r="H74" s="9">
        <v>46235</v>
      </c>
      <c r="J74" t="s">
        <v>27</v>
      </c>
      <c r="L74" t="s">
        <v>281</v>
      </c>
      <c r="N74" t="s">
        <v>282</v>
      </c>
      <c r="P74" t="s">
        <v>64</v>
      </c>
      <c r="R74" t="s">
        <v>31</v>
      </c>
      <c r="T74" t="s">
        <v>32</v>
      </c>
      <c r="V74" t="s">
        <v>127</v>
      </c>
      <c r="X74" t="s">
        <v>127</v>
      </c>
      <c r="Z74" t="s">
        <v>64</v>
      </c>
      <c r="AB74" t="s">
        <v>35</v>
      </c>
      <c r="AD74" t="s">
        <v>36</v>
      </c>
      <c r="AF74" t="s">
        <v>283</v>
      </c>
      <c r="AH74" t="s">
        <v>38</v>
      </c>
      <c r="AJ74" t="s">
        <v>39</v>
      </c>
      <c r="AL74">
        <v>0</v>
      </c>
      <c r="AN74">
        <v>1</v>
      </c>
      <c r="AP74">
        <v>35000</v>
      </c>
      <c r="AR74">
        <v>35000</v>
      </c>
      <c r="AU74" t="str">
        <f t="shared" si="1"/>
        <v>Omset Interface</v>
      </c>
    </row>
    <row r="75" spans="2:47" ht="23.1" customHeight="1">
      <c r="B75" s="9">
        <v>46235</v>
      </c>
      <c r="D75" t="s">
        <v>279</v>
      </c>
      <c r="F75" t="s">
        <v>280</v>
      </c>
      <c r="H75" s="9">
        <v>46235</v>
      </c>
      <c r="J75" t="s">
        <v>27</v>
      </c>
      <c r="L75" t="s">
        <v>281</v>
      </c>
      <c r="N75" t="s">
        <v>282</v>
      </c>
      <c r="P75" t="s">
        <v>64</v>
      </c>
      <c r="R75" t="s">
        <v>31</v>
      </c>
      <c r="T75" t="s">
        <v>41</v>
      </c>
      <c r="V75" t="s">
        <v>127</v>
      </c>
      <c r="X75" t="s">
        <v>127</v>
      </c>
      <c r="Z75" t="s">
        <v>64</v>
      </c>
      <c r="AB75" t="s">
        <v>35</v>
      </c>
      <c r="AD75" t="s">
        <v>36</v>
      </c>
      <c r="AF75" t="s">
        <v>283</v>
      </c>
      <c r="AH75" t="s">
        <v>42</v>
      </c>
      <c r="AJ75" t="s">
        <v>43</v>
      </c>
      <c r="AL75">
        <v>17450</v>
      </c>
      <c r="AN75">
        <v>1</v>
      </c>
      <c r="AP75">
        <v>20000</v>
      </c>
      <c r="AR75">
        <v>20000</v>
      </c>
      <c r="AU75" t="str">
        <f t="shared" si="1"/>
        <v>Omset lainnya</v>
      </c>
    </row>
    <row r="76" spans="2:47" ht="23.1" customHeight="1">
      <c r="B76" s="9">
        <v>46235</v>
      </c>
      <c r="D76" t="s">
        <v>279</v>
      </c>
      <c r="F76" t="s">
        <v>280</v>
      </c>
      <c r="H76" s="9">
        <v>46235</v>
      </c>
      <c r="J76" t="s">
        <v>27</v>
      </c>
      <c r="L76" t="s">
        <v>281</v>
      </c>
      <c r="N76" t="s">
        <v>282</v>
      </c>
      <c r="P76" t="s">
        <v>64</v>
      </c>
      <c r="R76" t="s">
        <v>31</v>
      </c>
      <c r="T76" t="s">
        <v>41</v>
      </c>
      <c r="V76" t="s">
        <v>127</v>
      </c>
      <c r="X76" t="s">
        <v>127</v>
      </c>
      <c r="Z76" t="s">
        <v>64</v>
      </c>
      <c r="AB76" t="s">
        <v>35</v>
      </c>
      <c r="AD76" t="s">
        <v>36</v>
      </c>
      <c r="AF76" t="s">
        <v>283</v>
      </c>
      <c r="AH76" t="s">
        <v>180</v>
      </c>
      <c r="AJ76" t="s">
        <v>181</v>
      </c>
      <c r="AL76">
        <v>40000</v>
      </c>
      <c r="AN76">
        <v>2</v>
      </c>
      <c r="AP76">
        <v>37500</v>
      </c>
      <c r="AR76">
        <v>75000</v>
      </c>
      <c r="AU76" t="str">
        <f t="shared" si="1"/>
        <v>Omset lainnya</v>
      </c>
    </row>
    <row r="77" spans="2:47" ht="14.1" customHeight="1">
      <c r="B77" s="9">
        <v>46234</v>
      </c>
      <c r="D77" t="s">
        <v>284</v>
      </c>
      <c r="F77" t="s">
        <v>285</v>
      </c>
      <c r="H77" s="9">
        <v>46234</v>
      </c>
      <c r="J77" t="s">
        <v>54</v>
      </c>
      <c r="L77" t="s">
        <v>286</v>
      </c>
      <c r="N77" t="s">
        <v>287</v>
      </c>
      <c r="P77" t="s">
        <v>77</v>
      </c>
      <c r="R77" t="s">
        <v>177</v>
      </c>
      <c r="T77" t="s">
        <v>41</v>
      </c>
      <c r="Z77" t="s">
        <v>57</v>
      </c>
      <c r="AB77" t="s">
        <v>178</v>
      </c>
      <c r="AD77" t="s">
        <v>78</v>
      </c>
      <c r="AF77" t="s">
        <v>288</v>
      </c>
      <c r="AH77" t="s">
        <v>289</v>
      </c>
      <c r="AJ77" t="s">
        <v>290</v>
      </c>
      <c r="AL77">
        <v>76000</v>
      </c>
      <c r="AN77">
        <v>1</v>
      </c>
      <c r="AP77">
        <v>126000</v>
      </c>
      <c r="AR77">
        <v>126000</v>
      </c>
      <c r="AU77" t="str">
        <f t="shared" si="1"/>
        <v>Omset lainnya</v>
      </c>
    </row>
    <row r="78" spans="2:47" ht="14.1" customHeight="1">
      <c r="B78" s="9">
        <v>46236</v>
      </c>
      <c r="D78" t="s">
        <v>116</v>
      </c>
      <c r="F78" t="s">
        <v>117</v>
      </c>
      <c r="H78" s="9">
        <v>46235</v>
      </c>
      <c r="J78" t="s">
        <v>54</v>
      </c>
      <c r="L78" t="s">
        <v>118</v>
      </c>
      <c r="N78" t="s">
        <v>119</v>
      </c>
      <c r="P78" t="s">
        <v>57</v>
      </c>
      <c r="R78" t="s">
        <v>31</v>
      </c>
      <c r="T78" t="s">
        <v>41</v>
      </c>
      <c r="V78" t="s">
        <v>71</v>
      </c>
      <c r="X78" t="s">
        <v>71</v>
      </c>
      <c r="Z78" t="s">
        <v>77</v>
      </c>
      <c r="AB78" t="s">
        <v>95</v>
      </c>
      <c r="AD78" t="s">
        <v>65</v>
      </c>
      <c r="AF78" t="s">
        <v>120</v>
      </c>
      <c r="AH78" t="s">
        <v>42</v>
      </c>
      <c r="AJ78" t="s">
        <v>43</v>
      </c>
      <c r="AL78">
        <v>17450</v>
      </c>
      <c r="AN78">
        <v>1</v>
      </c>
      <c r="AP78">
        <v>21000</v>
      </c>
      <c r="AR78">
        <v>21000</v>
      </c>
      <c r="AU78" t="str">
        <f t="shared" si="1"/>
        <v>Omset lainnya</v>
      </c>
    </row>
    <row r="79" spans="2:47" ht="23.1" customHeight="1">
      <c r="B79" s="9">
        <v>46236</v>
      </c>
      <c r="D79" t="s">
        <v>116</v>
      </c>
      <c r="F79" t="s">
        <v>117</v>
      </c>
      <c r="H79" s="9">
        <v>46235</v>
      </c>
      <c r="J79" t="s">
        <v>54</v>
      </c>
      <c r="L79" t="s">
        <v>118</v>
      </c>
      <c r="N79" t="s">
        <v>119</v>
      </c>
      <c r="P79" t="s">
        <v>57</v>
      </c>
      <c r="R79" t="s">
        <v>31</v>
      </c>
      <c r="T79" t="s">
        <v>41</v>
      </c>
      <c r="V79" t="s">
        <v>71</v>
      </c>
      <c r="X79" t="s">
        <v>71</v>
      </c>
      <c r="Z79" t="s">
        <v>77</v>
      </c>
      <c r="AB79" t="s">
        <v>95</v>
      </c>
      <c r="AD79" t="s">
        <v>65</v>
      </c>
      <c r="AF79" t="s">
        <v>120</v>
      </c>
      <c r="AH79" t="s">
        <v>80</v>
      </c>
      <c r="AJ79" t="s">
        <v>81</v>
      </c>
      <c r="AL79">
        <v>20000</v>
      </c>
      <c r="AN79">
        <v>1</v>
      </c>
      <c r="AP79">
        <v>35000</v>
      </c>
      <c r="AR79">
        <v>35000</v>
      </c>
      <c r="AU79" t="str">
        <f t="shared" si="1"/>
        <v>Omset lainnya</v>
      </c>
    </row>
    <row r="80" spans="2:47" ht="23.1" customHeight="1">
      <c r="B80" s="9">
        <v>46236</v>
      </c>
      <c r="D80" t="s">
        <v>291</v>
      </c>
      <c r="F80" t="s">
        <v>292</v>
      </c>
      <c r="H80" s="9">
        <v>46236</v>
      </c>
      <c r="J80" t="s">
        <v>54</v>
      </c>
      <c r="L80" t="s">
        <v>293</v>
      </c>
      <c r="N80" t="s">
        <v>294</v>
      </c>
      <c r="P80" t="s">
        <v>77</v>
      </c>
      <c r="R80" t="s">
        <v>31</v>
      </c>
      <c r="T80" t="s">
        <v>32</v>
      </c>
      <c r="V80" t="s">
        <v>127</v>
      </c>
      <c r="X80" t="s">
        <v>127</v>
      </c>
      <c r="Z80" t="s">
        <v>77</v>
      </c>
      <c r="AB80" t="s">
        <v>178</v>
      </c>
      <c r="AD80" t="s">
        <v>128</v>
      </c>
      <c r="AF80" t="s">
        <v>295</v>
      </c>
      <c r="AH80" t="s">
        <v>167</v>
      </c>
      <c r="AJ80" t="s">
        <v>168</v>
      </c>
      <c r="AL80">
        <v>0</v>
      </c>
      <c r="AN80">
        <v>1</v>
      </c>
      <c r="AP80">
        <v>30000</v>
      </c>
      <c r="AR80">
        <v>30000</v>
      </c>
      <c r="AU80" t="str">
        <f t="shared" si="1"/>
        <v>Omset Interface</v>
      </c>
    </row>
    <row r="81" spans="2:47" ht="23.1" customHeight="1">
      <c r="B81" s="9">
        <v>46236</v>
      </c>
      <c r="D81" t="s">
        <v>216</v>
      </c>
      <c r="F81" t="s">
        <v>217</v>
      </c>
      <c r="H81" s="9">
        <v>46236</v>
      </c>
      <c r="J81" t="s">
        <v>54</v>
      </c>
      <c r="L81" t="s">
        <v>218</v>
      </c>
      <c r="N81" t="s">
        <v>219</v>
      </c>
      <c r="P81" t="s">
        <v>57</v>
      </c>
      <c r="R81" t="s">
        <v>31</v>
      </c>
      <c r="T81" t="s">
        <v>32</v>
      </c>
      <c r="V81" t="s">
        <v>49</v>
      </c>
      <c r="X81" t="s">
        <v>49</v>
      </c>
      <c r="Z81" t="s">
        <v>57</v>
      </c>
      <c r="AB81" t="s">
        <v>35</v>
      </c>
      <c r="AD81" t="s">
        <v>87</v>
      </c>
      <c r="AF81" t="s">
        <v>220</v>
      </c>
      <c r="AH81" t="s">
        <v>38</v>
      </c>
      <c r="AJ81" t="s">
        <v>39</v>
      </c>
      <c r="AL81">
        <v>0</v>
      </c>
      <c r="AN81">
        <v>1</v>
      </c>
      <c r="AP81">
        <v>115000</v>
      </c>
      <c r="AR81">
        <v>115000</v>
      </c>
      <c r="AU81" t="str">
        <f t="shared" si="1"/>
        <v>Omset Interface</v>
      </c>
    </row>
    <row r="82" spans="2:47" ht="23.1" customHeight="1">
      <c r="B82" s="9">
        <v>46236</v>
      </c>
      <c r="D82" t="s">
        <v>216</v>
      </c>
      <c r="F82" t="s">
        <v>217</v>
      </c>
      <c r="H82" s="9">
        <v>46236</v>
      </c>
      <c r="J82" t="s">
        <v>54</v>
      </c>
      <c r="L82" t="s">
        <v>218</v>
      </c>
      <c r="N82" t="s">
        <v>219</v>
      </c>
      <c r="P82" t="s">
        <v>57</v>
      </c>
      <c r="R82" t="s">
        <v>31</v>
      </c>
      <c r="T82" t="s">
        <v>41</v>
      </c>
      <c r="V82" t="s">
        <v>49</v>
      </c>
      <c r="X82" t="s">
        <v>49</v>
      </c>
      <c r="Z82" t="s">
        <v>57</v>
      </c>
      <c r="AB82" t="s">
        <v>35</v>
      </c>
      <c r="AD82" t="s">
        <v>87</v>
      </c>
      <c r="AF82" t="s">
        <v>220</v>
      </c>
      <c r="AH82" t="s">
        <v>296</v>
      </c>
      <c r="AJ82" t="s">
        <v>297</v>
      </c>
      <c r="AL82">
        <v>19300</v>
      </c>
      <c r="AN82">
        <v>1</v>
      </c>
      <c r="AP82">
        <v>20000</v>
      </c>
      <c r="AR82">
        <v>20000</v>
      </c>
      <c r="AU82" t="str">
        <f t="shared" si="1"/>
        <v>Omset lainnya</v>
      </c>
    </row>
    <row r="83" spans="2:47" ht="23.1" customHeight="1">
      <c r="B83" s="9">
        <v>46236</v>
      </c>
      <c r="D83" t="s">
        <v>298</v>
      </c>
      <c r="F83" t="s">
        <v>299</v>
      </c>
      <c r="H83" s="9">
        <v>46236</v>
      </c>
      <c r="J83" t="s">
        <v>54</v>
      </c>
      <c r="L83" t="s">
        <v>300</v>
      </c>
      <c r="N83" t="s">
        <v>301</v>
      </c>
      <c r="P83" t="s">
        <v>57</v>
      </c>
      <c r="R83" t="s">
        <v>31</v>
      </c>
      <c r="T83" t="s">
        <v>32</v>
      </c>
      <c r="V83" t="s">
        <v>86</v>
      </c>
      <c r="X83" t="s">
        <v>86</v>
      </c>
      <c r="Z83" t="s">
        <v>57</v>
      </c>
      <c r="AB83" t="s">
        <v>35</v>
      </c>
      <c r="AD83" t="s">
        <v>36</v>
      </c>
      <c r="AF83" t="s">
        <v>302</v>
      </c>
      <c r="AH83" t="s">
        <v>38</v>
      </c>
      <c r="AJ83" t="s">
        <v>39</v>
      </c>
      <c r="AL83">
        <v>0</v>
      </c>
      <c r="AN83">
        <v>1</v>
      </c>
      <c r="AP83">
        <v>75000</v>
      </c>
      <c r="AR83">
        <v>75000</v>
      </c>
      <c r="AU83" t="str">
        <f t="shared" si="1"/>
        <v>Omset Interface</v>
      </c>
    </row>
    <row r="84" spans="2:47" ht="23.1" customHeight="1">
      <c r="B84" s="9">
        <v>46236</v>
      </c>
      <c r="D84" t="s">
        <v>298</v>
      </c>
      <c r="F84" t="s">
        <v>299</v>
      </c>
      <c r="H84" s="9">
        <v>46236</v>
      </c>
      <c r="J84" t="s">
        <v>54</v>
      </c>
      <c r="L84" t="s">
        <v>300</v>
      </c>
      <c r="N84" t="s">
        <v>301</v>
      </c>
      <c r="P84" t="s">
        <v>57</v>
      </c>
      <c r="R84" t="s">
        <v>31</v>
      </c>
      <c r="T84" t="s">
        <v>41</v>
      </c>
      <c r="V84" t="s">
        <v>86</v>
      </c>
      <c r="X84" t="s">
        <v>86</v>
      </c>
      <c r="Z84" t="s">
        <v>57</v>
      </c>
      <c r="AB84" t="s">
        <v>35</v>
      </c>
      <c r="AD84" t="s">
        <v>36</v>
      </c>
      <c r="AF84" t="s">
        <v>302</v>
      </c>
      <c r="AH84" t="s">
        <v>80</v>
      </c>
      <c r="AJ84" t="s">
        <v>81</v>
      </c>
      <c r="AL84">
        <v>20000</v>
      </c>
      <c r="AN84">
        <v>1</v>
      </c>
      <c r="AP84">
        <v>38000</v>
      </c>
      <c r="AR84">
        <v>38000</v>
      </c>
      <c r="AU84" t="str">
        <f t="shared" si="1"/>
        <v>Omset lainnya</v>
      </c>
    </row>
    <row r="85" spans="2:47" ht="23.1" customHeight="1">
      <c r="B85" s="9">
        <v>46236</v>
      </c>
      <c r="D85" t="s">
        <v>298</v>
      </c>
      <c r="F85" t="s">
        <v>299</v>
      </c>
      <c r="H85" s="9">
        <v>46236</v>
      </c>
      <c r="J85" t="s">
        <v>54</v>
      </c>
      <c r="L85" t="s">
        <v>300</v>
      </c>
      <c r="N85" t="s">
        <v>301</v>
      </c>
      <c r="P85" t="s">
        <v>57</v>
      </c>
      <c r="R85" t="s">
        <v>31</v>
      </c>
      <c r="T85" t="s">
        <v>41</v>
      </c>
      <c r="V85" t="s">
        <v>86</v>
      </c>
      <c r="X85" t="s">
        <v>86</v>
      </c>
      <c r="Z85" t="s">
        <v>57</v>
      </c>
      <c r="AB85" t="s">
        <v>35</v>
      </c>
      <c r="AD85" t="s">
        <v>36</v>
      </c>
      <c r="AF85" t="s">
        <v>302</v>
      </c>
      <c r="AH85" t="s">
        <v>42</v>
      </c>
      <c r="AJ85" t="s">
        <v>43</v>
      </c>
      <c r="AL85">
        <v>17450</v>
      </c>
      <c r="AN85">
        <v>1</v>
      </c>
      <c r="AP85">
        <v>20000</v>
      </c>
      <c r="AR85">
        <v>20000</v>
      </c>
      <c r="AU85" t="str">
        <f t="shared" si="1"/>
        <v>Omset lainnya</v>
      </c>
    </row>
    <row r="86" spans="2:47" ht="23.1" customHeight="1">
      <c r="B86" s="9">
        <v>46237</v>
      </c>
      <c r="D86" t="s">
        <v>303</v>
      </c>
      <c r="F86" t="s">
        <v>304</v>
      </c>
      <c r="H86" s="9">
        <v>46237</v>
      </c>
      <c r="J86" t="s">
        <v>27</v>
      </c>
      <c r="L86" t="s">
        <v>305</v>
      </c>
      <c r="N86" t="s">
        <v>306</v>
      </c>
      <c r="P86" t="s">
        <v>77</v>
      </c>
      <c r="R86" t="s">
        <v>177</v>
      </c>
      <c r="T86" t="s">
        <v>41</v>
      </c>
      <c r="Z86" t="s">
        <v>77</v>
      </c>
      <c r="AB86" t="s">
        <v>178</v>
      </c>
      <c r="AD86" t="s">
        <v>78</v>
      </c>
      <c r="AF86" t="s">
        <v>307</v>
      </c>
      <c r="AH86" t="s">
        <v>308</v>
      </c>
      <c r="AJ86" t="s">
        <v>309</v>
      </c>
      <c r="AL86">
        <v>92000</v>
      </c>
      <c r="AN86">
        <v>1</v>
      </c>
      <c r="AP86">
        <v>150000</v>
      </c>
      <c r="AR86">
        <v>150000</v>
      </c>
      <c r="AT86" t="s">
        <v>310</v>
      </c>
      <c r="AU86" t="str">
        <f t="shared" si="1"/>
        <v>Omset lainnya</v>
      </c>
    </row>
    <row r="87" spans="2:47" ht="23.1" customHeight="1">
      <c r="B87" s="9">
        <v>46237</v>
      </c>
      <c r="D87" t="s">
        <v>311</v>
      </c>
      <c r="F87" t="s">
        <v>312</v>
      </c>
      <c r="H87" s="9">
        <v>46237</v>
      </c>
      <c r="J87" t="s">
        <v>27</v>
      </c>
      <c r="L87" t="s">
        <v>313</v>
      </c>
      <c r="N87" t="s">
        <v>314</v>
      </c>
      <c r="P87" t="s">
        <v>57</v>
      </c>
      <c r="R87" t="s">
        <v>177</v>
      </c>
      <c r="T87" t="s">
        <v>41</v>
      </c>
      <c r="Z87" t="s">
        <v>57</v>
      </c>
      <c r="AB87" t="s">
        <v>178</v>
      </c>
      <c r="AD87" t="s">
        <v>78</v>
      </c>
      <c r="AH87" t="s">
        <v>315</v>
      </c>
      <c r="AJ87" t="s">
        <v>316</v>
      </c>
      <c r="AL87">
        <v>13943</v>
      </c>
      <c r="AN87">
        <v>1</v>
      </c>
      <c r="AP87">
        <v>19860</v>
      </c>
      <c r="AR87">
        <v>19860</v>
      </c>
      <c r="AU87" t="str">
        <f t="shared" si="1"/>
        <v>Omset lainnya</v>
      </c>
    </row>
    <row r="88" spans="2:47" ht="23.1" customHeight="1">
      <c r="B88" s="9">
        <v>46237</v>
      </c>
      <c r="D88" t="s">
        <v>209</v>
      </c>
      <c r="F88" t="s">
        <v>210</v>
      </c>
      <c r="H88" s="9">
        <v>46236</v>
      </c>
      <c r="J88" t="s">
        <v>54</v>
      </c>
      <c r="L88" t="s">
        <v>211</v>
      </c>
      <c r="N88" t="s">
        <v>212</v>
      </c>
      <c r="P88" t="s">
        <v>57</v>
      </c>
      <c r="R88" t="s">
        <v>31</v>
      </c>
      <c r="T88" t="s">
        <v>32</v>
      </c>
      <c r="V88" t="s">
        <v>86</v>
      </c>
      <c r="X88" t="s">
        <v>86</v>
      </c>
      <c r="Z88" t="s">
        <v>64</v>
      </c>
      <c r="AB88" t="s">
        <v>35</v>
      </c>
      <c r="AD88" t="s">
        <v>58</v>
      </c>
      <c r="AF88" t="s">
        <v>213</v>
      </c>
      <c r="AH88" t="s">
        <v>38</v>
      </c>
      <c r="AJ88" t="s">
        <v>39</v>
      </c>
      <c r="AL88">
        <v>0</v>
      </c>
      <c r="AN88">
        <v>1</v>
      </c>
      <c r="AP88">
        <v>130000</v>
      </c>
      <c r="AR88">
        <v>130000</v>
      </c>
      <c r="AU88" t="str">
        <f t="shared" si="1"/>
        <v>Omset Interface</v>
      </c>
    </row>
    <row r="89" spans="2:47" ht="23.1" customHeight="1">
      <c r="B89" s="9">
        <v>46237</v>
      </c>
      <c r="D89" t="s">
        <v>209</v>
      </c>
      <c r="F89" t="s">
        <v>210</v>
      </c>
      <c r="H89" s="9">
        <v>46236</v>
      </c>
      <c r="J89" t="s">
        <v>54</v>
      </c>
      <c r="L89" t="s">
        <v>211</v>
      </c>
      <c r="N89" t="s">
        <v>212</v>
      </c>
      <c r="P89" t="s">
        <v>57</v>
      </c>
      <c r="R89" t="s">
        <v>31</v>
      </c>
      <c r="T89" t="s">
        <v>41</v>
      </c>
      <c r="V89" t="s">
        <v>86</v>
      </c>
      <c r="X89" t="s">
        <v>86</v>
      </c>
      <c r="Z89" t="s">
        <v>64</v>
      </c>
      <c r="AB89" t="s">
        <v>35</v>
      </c>
      <c r="AD89" t="s">
        <v>58</v>
      </c>
      <c r="AF89" t="s">
        <v>213</v>
      </c>
      <c r="AH89" t="s">
        <v>42</v>
      </c>
      <c r="AJ89" t="s">
        <v>43</v>
      </c>
      <c r="AL89">
        <v>17450</v>
      </c>
      <c r="AN89">
        <v>1</v>
      </c>
      <c r="AP89">
        <v>21000</v>
      </c>
      <c r="AR89">
        <v>21000</v>
      </c>
      <c r="AU89" t="str">
        <f t="shared" si="1"/>
        <v>Omset lainnya</v>
      </c>
    </row>
    <row r="90" spans="2:47" ht="23.1" customHeight="1">
      <c r="B90" s="9">
        <v>46237</v>
      </c>
      <c r="D90" t="s">
        <v>169</v>
      </c>
      <c r="F90" t="s">
        <v>170</v>
      </c>
      <c r="H90" s="9">
        <v>46234</v>
      </c>
      <c r="J90" t="s">
        <v>54</v>
      </c>
      <c r="L90" t="s">
        <v>171</v>
      </c>
      <c r="N90" t="s">
        <v>172</v>
      </c>
      <c r="P90" t="s">
        <v>93</v>
      </c>
      <c r="R90" t="s">
        <v>173</v>
      </c>
      <c r="T90" t="s">
        <v>41</v>
      </c>
      <c r="V90" t="s">
        <v>86</v>
      </c>
      <c r="X90" t="s">
        <v>86</v>
      </c>
      <c r="Z90" t="s">
        <v>57</v>
      </c>
      <c r="AB90" t="s">
        <v>95</v>
      </c>
      <c r="AD90" t="s">
        <v>112</v>
      </c>
      <c r="AF90" t="s">
        <v>174</v>
      </c>
      <c r="AH90" t="s">
        <v>42</v>
      </c>
      <c r="AJ90" t="s">
        <v>43</v>
      </c>
      <c r="AL90">
        <v>17450</v>
      </c>
      <c r="AN90">
        <v>1</v>
      </c>
      <c r="AP90">
        <v>20000</v>
      </c>
      <c r="AR90">
        <v>20000</v>
      </c>
      <c r="AU90" t="str">
        <f t="shared" si="1"/>
        <v>Omset lainnya</v>
      </c>
    </row>
    <row r="91" spans="2:47" ht="23.1" customHeight="1">
      <c r="B91" s="9">
        <v>46242</v>
      </c>
      <c r="D91" t="s">
        <v>317</v>
      </c>
      <c r="F91" t="s">
        <v>318</v>
      </c>
      <c r="H91" s="9">
        <v>46237</v>
      </c>
      <c r="J91" t="s">
        <v>27</v>
      </c>
      <c r="L91" t="s">
        <v>319</v>
      </c>
      <c r="N91" t="s">
        <v>320</v>
      </c>
      <c r="P91" t="s">
        <v>64</v>
      </c>
      <c r="R91" t="s">
        <v>31</v>
      </c>
      <c r="T91" t="s">
        <v>94</v>
      </c>
      <c r="V91" t="s">
        <v>86</v>
      </c>
      <c r="X91" t="s">
        <v>86</v>
      </c>
      <c r="Z91" t="s">
        <v>64</v>
      </c>
      <c r="AB91" t="s">
        <v>35</v>
      </c>
      <c r="AD91" t="s">
        <v>50</v>
      </c>
      <c r="AF91" t="s">
        <v>321</v>
      </c>
      <c r="AH91" t="s">
        <v>322</v>
      </c>
      <c r="AJ91" t="s">
        <v>323</v>
      </c>
      <c r="AL91">
        <v>125000</v>
      </c>
      <c r="AN91">
        <v>1</v>
      </c>
      <c r="AP91">
        <v>140000</v>
      </c>
      <c r="AR91">
        <v>140000</v>
      </c>
      <c r="AT91" t="s">
        <v>64</v>
      </c>
      <c r="AU91" t="str">
        <f t="shared" si="1"/>
        <v>Omset lainnya</v>
      </c>
    </row>
    <row r="92" spans="2:47" ht="23.1" customHeight="1">
      <c r="B92" s="9">
        <v>46238</v>
      </c>
      <c r="D92" t="s">
        <v>324</v>
      </c>
      <c r="F92" t="s">
        <v>325</v>
      </c>
      <c r="H92" s="9">
        <v>46238</v>
      </c>
      <c r="J92" t="s">
        <v>54</v>
      </c>
      <c r="L92" t="s">
        <v>326</v>
      </c>
      <c r="N92" t="s">
        <v>327</v>
      </c>
      <c r="P92" t="s">
        <v>57</v>
      </c>
      <c r="R92" t="s">
        <v>177</v>
      </c>
      <c r="T92" t="s">
        <v>41</v>
      </c>
      <c r="Z92" t="s">
        <v>57</v>
      </c>
      <c r="AB92" t="s">
        <v>178</v>
      </c>
      <c r="AD92" t="s">
        <v>87</v>
      </c>
      <c r="AF92" t="s">
        <v>328</v>
      </c>
      <c r="AH92" t="s">
        <v>315</v>
      </c>
      <c r="AJ92" t="s">
        <v>316</v>
      </c>
      <c r="AL92">
        <v>27886</v>
      </c>
      <c r="AN92">
        <v>2</v>
      </c>
      <c r="AP92">
        <v>25000</v>
      </c>
      <c r="AR92">
        <v>50000</v>
      </c>
      <c r="AT92" t="s">
        <v>57</v>
      </c>
      <c r="AU92" t="str">
        <f t="shared" si="1"/>
        <v>Omset lainnya</v>
      </c>
    </row>
    <row r="93" spans="2:47" ht="23.1" customHeight="1">
      <c r="B93" s="9">
        <v>46238</v>
      </c>
      <c r="D93" t="s">
        <v>329</v>
      </c>
      <c r="F93" t="s">
        <v>330</v>
      </c>
      <c r="H93" s="9">
        <v>46238</v>
      </c>
      <c r="J93" t="s">
        <v>27</v>
      </c>
      <c r="L93" t="s">
        <v>331</v>
      </c>
      <c r="N93" t="s">
        <v>332</v>
      </c>
      <c r="P93" t="s">
        <v>64</v>
      </c>
      <c r="R93" t="s">
        <v>177</v>
      </c>
      <c r="T93" t="s">
        <v>41</v>
      </c>
      <c r="Z93" t="s">
        <v>64</v>
      </c>
      <c r="AB93" t="s">
        <v>178</v>
      </c>
      <c r="AD93" t="s">
        <v>87</v>
      </c>
      <c r="AF93" t="s">
        <v>333</v>
      </c>
      <c r="AH93" t="s">
        <v>334</v>
      </c>
      <c r="AJ93" t="s">
        <v>335</v>
      </c>
      <c r="AL93">
        <v>39000</v>
      </c>
      <c r="AN93">
        <v>1</v>
      </c>
      <c r="AP93">
        <v>70000</v>
      </c>
      <c r="AR93">
        <v>70000</v>
      </c>
      <c r="AT93" t="s">
        <v>57</v>
      </c>
      <c r="AU93" t="str">
        <f t="shared" si="1"/>
        <v>Omset lainnya</v>
      </c>
    </row>
    <row r="94" spans="2:47" ht="23.1" customHeight="1">
      <c r="B94" s="9">
        <v>46236</v>
      </c>
      <c r="D94" t="s">
        <v>147</v>
      </c>
      <c r="F94" t="s">
        <v>148</v>
      </c>
      <c r="H94" s="9">
        <v>46236</v>
      </c>
      <c r="J94" t="s">
        <v>54</v>
      </c>
      <c r="L94" t="s">
        <v>149</v>
      </c>
      <c r="N94" t="s">
        <v>150</v>
      </c>
      <c r="P94" t="s">
        <v>57</v>
      </c>
      <c r="R94" t="s">
        <v>31</v>
      </c>
      <c r="T94" t="s">
        <v>41</v>
      </c>
      <c r="V94" t="s">
        <v>71</v>
      </c>
      <c r="X94" t="s">
        <v>71</v>
      </c>
      <c r="Z94" t="s">
        <v>57</v>
      </c>
      <c r="AB94" t="s">
        <v>95</v>
      </c>
      <c r="AD94" t="s">
        <v>36</v>
      </c>
      <c r="AF94" t="s">
        <v>151</v>
      </c>
      <c r="AH94" t="s">
        <v>42</v>
      </c>
      <c r="AJ94" t="s">
        <v>43</v>
      </c>
      <c r="AL94">
        <v>17450</v>
      </c>
      <c r="AN94">
        <v>1</v>
      </c>
      <c r="AP94">
        <v>20000</v>
      </c>
      <c r="AR94">
        <v>20000</v>
      </c>
      <c r="AU94" t="str">
        <f t="shared" si="1"/>
        <v>Omset lainnya</v>
      </c>
    </row>
    <row r="95" spans="2:47" ht="23.1" customHeight="1">
      <c r="B95" s="9">
        <v>46236</v>
      </c>
      <c r="D95" t="s">
        <v>204</v>
      </c>
      <c r="F95" t="s">
        <v>205</v>
      </c>
      <c r="H95" s="9">
        <v>46236</v>
      </c>
      <c r="J95" t="s">
        <v>54</v>
      </c>
      <c r="L95" t="s">
        <v>206</v>
      </c>
      <c r="N95" t="s">
        <v>207</v>
      </c>
      <c r="P95" t="s">
        <v>57</v>
      </c>
      <c r="R95" t="s">
        <v>31</v>
      </c>
      <c r="T95" t="s">
        <v>94</v>
      </c>
      <c r="V95" t="s">
        <v>49</v>
      </c>
      <c r="X95" t="s">
        <v>49</v>
      </c>
      <c r="Z95" t="s">
        <v>57</v>
      </c>
      <c r="AB95" t="s">
        <v>35</v>
      </c>
      <c r="AD95" t="s">
        <v>65</v>
      </c>
      <c r="AF95" t="s">
        <v>208</v>
      </c>
      <c r="AH95" t="s">
        <v>336</v>
      </c>
      <c r="AJ95" t="s">
        <v>337</v>
      </c>
      <c r="AL95">
        <v>126500</v>
      </c>
      <c r="AN95">
        <v>1</v>
      </c>
      <c r="AP95">
        <v>140000</v>
      </c>
      <c r="AR95">
        <v>140000</v>
      </c>
      <c r="AU95" t="str">
        <f t="shared" si="1"/>
        <v>Omset lainnya</v>
      </c>
    </row>
    <row r="96" spans="2:47" ht="23.1" customHeight="1">
      <c r="B96" s="9">
        <v>46236</v>
      </c>
      <c r="D96" t="s">
        <v>298</v>
      </c>
      <c r="F96" t="s">
        <v>299</v>
      </c>
      <c r="H96" s="9">
        <v>46236</v>
      </c>
      <c r="J96" t="s">
        <v>54</v>
      </c>
      <c r="L96" t="s">
        <v>300</v>
      </c>
      <c r="N96" t="s">
        <v>301</v>
      </c>
      <c r="P96" t="s">
        <v>57</v>
      </c>
      <c r="R96" t="s">
        <v>31</v>
      </c>
      <c r="T96" t="s">
        <v>94</v>
      </c>
      <c r="V96" t="s">
        <v>86</v>
      </c>
      <c r="X96" t="s">
        <v>86</v>
      </c>
      <c r="Z96" t="s">
        <v>57</v>
      </c>
      <c r="AB96" t="s">
        <v>35</v>
      </c>
      <c r="AD96" t="s">
        <v>36</v>
      </c>
      <c r="AF96" t="s">
        <v>302</v>
      </c>
      <c r="AH96" t="s">
        <v>338</v>
      </c>
      <c r="AJ96" t="s">
        <v>339</v>
      </c>
      <c r="AL96">
        <v>151500</v>
      </c>
      <c r="AN96">
        <v>1</v>
      </c>
      <c r="AP96">
        <v>87000</v>
      </c>
      <c r="AR96">
        <v>87000</v>
      </c>
      <c r="AU96" t="str">
        <f t="shared" si="1"/>
        <v>Omset lainnya</v>
      </c>
    </row>
    <row r="97" spans="2:47" ht="23.1" customHeight="1">
      <c r="B97" s="9">
        <v>46236</v>
      </c>
      <c r="D97" t="s">
        <v>147</v>
      </c>
      <c r="F97" t="s">
        <v>148</v>
      </c>
      <c r="H97" s="9">
        <v>46236</v>
      </c>
      <c r="J97" t="s">
        <v>54</v>
      </c>
      <c r="L97" t="s">
        <v>149</v>
      </c>
      <c r="N97" t="s">
        <v>150</v>
      </c>
      <c r="P97" t="s">
        <v>57</v>
      </c>
      <c r="R97" t="s">
        <v>31</v>
      </c>
      <c r="T97" t="s">
        <v>94</v>
      </c>
      <c r="V97" t="s">
        <v>71</v>
      </c>
      <c r="X97" t="s">
        <v>71</v>
      </c>
      <c r="Z97" t="s">
        <v>57</v>
      </c>
      <c r="AB97" t="s">
        <v>95</v>
      </c>
      <c r="AD97" t="s">
        <v>36</v>
      </c>
      <c r="AF97" t="s">
        <v>151</v>
      </c>
      <c r="AH97" t="s">
        <v>340</v>
      </c>
      <c r="AJ97" t="s">
        <v>341</v>
      </c>
      <c r="AL97">
        <v>15500</v>
      </c>
      <c r="AN97">
        <v>1</v>
      </c>
      <c r="AP97">
        <v>30000</v>
      </c>
      <c r="AR97">
        <v>30000</v>
      </c>
      <c r="AU97" t="str">
        <f t="shared" si="1"/>
        <v>Omset lainnya</v>
      </c>
    </row>
    <row r="98" spans="2:47" ht="23.1" customHeight="1">
      <c r="B98" s="9">
        <v>46237</v>
      </c>
      <c r="D98" t="s">
        <v>225</v>
      </c>
      <c r="F98" t="s">
        <v>226</v>
      </c>
      <c r="H98" s="9">
        <v>46236</v>
      </c>
      <c r="J98" t="s">
        <v>54</v>
      </c>
      <c r="L98" t="s">
        <v>227</v>
      </c>
      <c r="N98" t="s">
        <v>185</v>
      </c>
      <c r="P98" t="s">
        <v>57</v>
      </c>
      <c r="R98" t="s">
        <v>31</v>
      </c>
      <c r="T98" t="s">
        <v>41</v>
      </c>
      <c r="V98" t="s">
        <v>86</v>
      </c>
      <c r="X98" t="s">
        <v>86</v>
      </c>
      <c r="Z98" t="s">
        <v>57</v>
      </c>
      <c r="AB98" t="s">
        <v>35</v>
      </c>
      <c r="AD98" t="s">
        <v>87</v>
      </c>
      <c r="AF98" t="s">
        <v>228</v>
      </c>
      <c r="AH98" t="s">
        <v>296</v>
      </c>
      <c r="AJ98" t="s">
        <v>297</v>
      </c>
      <c r="AL98">
        <v>19300</v>
      </c>
      <c r="AN98">
        <v>1</v>
      </c>
      <c r="AP98">
        <v>20000</v>
      </c>
      <c r="AR98">
        <v>20000</v>
      </c>
      <c r="AU98" t="str">
        <f t="shared" si="1"/>
        <v>Omset lainnya</v>
      </c>
    </row>
    <row r="99" spans="2:47" ht="23.1" customHeight="1">
      <c r="B99" s="9">
        <v>46237</v>
      </c>
      <c r="D99" t="s">
        <v>342</v>
      </c>
      <c r="F99" t="s">
        <v>343</v>
      </c>
      <c r="H99" s="9">
        <v>46235</v>
      </c>
      <c r="J99" t="s">
        <v>27</v>
      </c>
      <c r="L99" t="s">
        <v>344</v>
      </c>
      <c r="N99" t="s">
        <v>345</v>
      </c>
      <c r="P99" t="s">
        <v>77</v>
      </c>
      <c r="R99" t="s">
        <v>31</v>
      </c>
      <c r="T99" t="s">
        <v>94</v>
      </c>
      <c r="V99" t="s">
        <v>127</v>
      </c>
      <c r="X99" t="s">
        <v>127</v>
      </c>
      <c r="Z99" t="s">
        <v>57</v>
      </c>
      <c r="AB99" t="s">
        <v>35</v>
      </c>
      <c r="AD99" t="s">
        <v>36</v>
      </c>
      <c r="AF99" t="s">
        <v>346</v>
      </c>
      <c r="AH99" t="s">
        <v>347</v>
      </c>
      <c r="AJ99" t="s">
        <v>348</v>
      </c>
      <c r="AL99">
        <v>150000</v>
      </c>
      <c r="AN99">
        <v>1</v>
      </c>
      <c r="AP99">
        <v>170000</v>
      </c>
      <c r="AR99">
        <v>170000</v>
      </c>
      <c r="AU99" t="str">
        <f t="shared" si="1"/>
        <v>Omset lainnya</v>
      </c>
    </row>
    <row r="100" spans="2:47" ht="23.1" customHeight="1">
      <c r="B100" s="9">
        <v>46237</v>
      </c>
      <c r="D100" t="s">
        <v>342</v>
      </c>
      <c r="F100" t="s">
        <v>343</v>
      </c>
      <c r="H100" s="9">
        <v>46235</v>
      </c>
      <c r="J100" t="s">
        <v>27</v>
      </c>
      <c r="L100" t="s">
        <v>344</v>
      </c>
      <c r="N100" t="s">
        <v>345</v>
      </c>
      <c r="P100" t="s">
        <v>77</v>
      </c>
      <c r="R100" t="s">
        <v>31</v>
      </c>
      <c r="T100" t="s">
        <v>32</v>
      </c>
      <c r="V100" t="s">
        <v>127</v>
      </c>
      <c r="X100" t="s">
        <v>127</v>
      </c>
      <c r="Z100" t="s">
        <v>57</v>
      </c>
      <c r="AB100" t="s">
        <v>35</v>
      </c>
      <c r="AD100" t="s">
        <v>36</v>
      </c>
      <c r="AF100" t="s">
        <v>346</v>
      </c>
      <c r="AH100" t="s">
        <v>38</v>
      </c>
      <c r="AJ100" t="s">
        <v>39</v>
      </c>
      <c r="AL100">
        <v>0</v>
      </c>
      <c r="AN100">
        <v>1</v>
      </c>
      <c r="AP100">
        <v>70000</v>
      </c>
      <c r="AR100">
        <v>70000</v>
      </c>
      <c r="AU100" t="str">
        <f t="shared" si="1"/>
        <v>Omset Interface</v>
      </c>
    </row>
    <row r="101" spans="2:47" ht="23.1" customHeight="1">
      <c r="B101" s="9">
        <v>46237</v>
      </c>
      <c r="D101" t="s">
        <v>342</v>
      </c>
      <c r="F101" t="s">
        <v>343</v>
      </c>
      <c r="H101" s="9">
        <v>46235</v>
      </c>
      <c r="J101" t="s">
        <v>27</v>
      </c>
      <c r="L101" t="s">
        <v>344</v>
      </c>
      <c r="N101" t="s">
        <v>345</v>
      </c>
      <c r="P101" t="s">
        <v>77</v>
      </c>
      <c r="R101" t="s">
        <v>31</v>
      </c>
      <c r="T101" t="s">
        <v>41</v>
      </c>
      <c r="V101" t="s">
        <v>127</v>
      </c>
      <c r="X101" t="s">
        <v>127</v>
      </c>
      <c r="Z101" t="s">
        <v>57</v>
      </c>
      <c r="AB101" t="s">
        <v>35</v>
      </c>
      <c r="AD101" t="s">
        <v>36</v>
      </c>
      <c r="AF101" t="s">
        <v>346</v>
      </c>
      <c r="AH101" t="s">
        <v>180</v>
      </c>
      <c r="AJ101" t="s">
        <v>181</v>
      </c>
      <c r="AL101">
        <v>20000</v>
      </c>
      <c r="AN101">
        <v>1</v>
      </c>
      <c r="AP101">
        <v>30000</v>
      </c>
      <c r="AR101">
        <v>30000</v>
      </c>
      <c r="AU101" t="str">
        <f t="shared" si="1"/>
        <v>Omset lainnya</v>
      </c>
    </row>
    <row r="102" spans="2:47" ht="23.1" customHeight="1">
      <c r="B102" s="9">
        <v>46237</v>
      </c>
      <c r="D102" t="s">
        <v>342</v>
      </c>
      <c r="F102" t="s">
        <v>343</v>
      </c>
      <c r="H102" s="9">
        <v>46235</v>
      </c>
      <c r="J102" t="s">
        <v>27</v>
      </c>
      <c r="L102" t="s">
        <v>344</v>
      </c>
      <c r="N102" t="s">
        <v>345</v>
      </c>
      <c r="P102" t="s">
        <v>77</v>
      </c>
      <c r="R102" t="s">
        <v>31</v>
      </c>
      <c r="T102" t="s">
        <v>41</v>
      </c>
      <c r="V102" t="s">
        <v>127</v>
      </c>
      <c r="X102" t="s">
        <v>127</v>
      </c>
      <c r="Z102" t="s">
        <v>57</v>
      </c>
      <c r="AB102" t="s">
        <v>35</v>
      </c>
      <c r="AD102" t="s">
        <v>36</v>
      </c>
      <c r="AF102" t="s">
        <v>346</v>
      </c>
      <c r="AH102" t="s">
        <v>42</v>
      </c>
      <c r="AJ102" t="s">
        <v>43</v>
      </c>
      <c r="AL102">
        <v>17450</v>
      </c>
      <c r="AN102">
        <v>1</v>
      </c>
      <c r="AP102">
        <v>20000</v>
      </c>
      <c r="AR102">
        <v>20000</v>
      </c>
      <c r="AU102" t="str">
        <f t="shared" si="1"/>
        <v>Omset lainnya</v>
      </c>
    </row>
    <row r="103" spans="2:47" ht="23.1" customHeight="1">
      <c r="B103" s="9">
        <v>46237</v>
      </c>
      <c r="D103" t="s">
        <v>349</v>
      </c>
      <c r="F103" t="s">
        <v>350</v>
      </c>
      <c r="H103" s="9">
        <v>46237</v>
      </c>
      <c r="J103" t="s">
        <v>54</v>
      </c>
      <c r="L103" t="s">
        <v>351</v>
      </c>
      <c r="N103" t="s">
        <v>352</v>
      </c>
      <c r="P103" t="s">
        <v>77</v>
      </c>
      <c r="R103" t="s">
        <v>173</v>
      </c>
      <c r="T103" t="s">
        <v>32</v>
      </c>
      <c r="V103" t="s">
        <v>33</v>
      </c>
      <c r="X103" t="s">
        <v>33</v>
      </c>
      <c r="Z103" t="s">
        <v>57</v>
      </c>
      <c r="AB103" t="s">
        <v>353</v>
      </c>
      <c r="AD103" t="s">
        <v>165</v>
      </c>
      <c r="AF103" t="s">
        <v>354</v>
      </c>
      <c r="AH103" t="s">
        <v>355</v>
      </c>
      <c r="AJ103" t="s">
        <v>356</v>
      </c>
      <c r="AL103">
        <v>0</v>
      </c>
      <c r="AN103">
        <v>1</v>
      </c>
      <c r="AP103">
        <v>330000</v>
      </c>
      <c r="AR103">
        <v>330000</v>
      </c>
      <c r="AU103" t="str">
        <f t="shared" si="1"/>
        <v>Omset Normal</v>
      </c>
    </row>
    <row r="104" spans="2:47" ht="23.1" customHeight="1">
      <c r="B104" s="9">
        <v>46237</v>
      </c>
      <c r="D104" t="s">
        <v>349</v>
      </c>
      <c r="F104" t="s">
        <v>350</v>
      </c>
      <c r="H104" s="9">
        <v>46237</v>
      </c>
      <c r="J104" t="s">
        <v>54</v>
      </c>
      <c r="L104" t="s">
        <v>351</v>
      </c>
      <c r="N104" t="s">
        <v>352</v>
      </c>
      <c r="P104" t="s">
        <v>77</v>
      </c>
      <c r="R104" t="s">
        <v>173</v>
      </c>
      <c r="T104" t="s">
        <v>41</v>
      </c>
      <c r="V104" t="s">
        <v>33</v>
      </c>
      <c r="X104" t="s">
        <v>33</v>
      </c>
      <c r="Z104" t="s">
        <v>57</v>
      </c>
      <c r="AB104" t="s">
        <v>353</v>
      </c>
      <c r="AD104" t="s">
        <v>165</v>
      </c>
      <c r="AF104" t="s">
        <v>354</v>
      </c>
      <c r="AH104" t="s">
        <v>42</v>
      </c>
      <c r="AJ104" t="s">
        <v>43</v>
      </c>
      <c r="AL104">
        <v>17450</v>
      </c>
      <c r="AN104">
        <v>1</v>
      </c>
      <c r="AP104">
        <v>20000</v>
      </c>
      <c r="AR104">
        <v>20000</v>
      </c>
      <c r="AU104" t="str">
        <f t="shared" si="1"/>
        <v>Omset lainnya</v>
      </c>
    </row>
    <row r="105" spans="2:47" ht="23.1" customHeight="1">
      <c r="B105" s="9">
        <v>46237</v>
      </c>
      <c r="D105" t="s">
        <v>243</v>
      </c>
      <c r="F105" t="s">
        <v>244</v>
      </c>
      <c r="H105" s="9">
        <v>46237</v>
      </c>
      <c r="J105" t="s">
        <v>27</v>
      </c>
      <c r="L105" t="s">
        <v>245</v>
      </c>
      <c r="N105" t="s">
        <v>246</v>
      </c>
      <c r="P105" t="s">
        <v>77</v>
      </c>
      <c r="R105" t="s">
        <v>31</v>
      </c>
      <c r="T105" t="s">
        <v>41</v>
      </c>
      <c r="V105" t="s">
        <v>49</v>
      </c>
      <c r="X105" t="s">
        <v>49</v>
      </c>
      <c r="Z105" t="s">
        <v>57</v>
      </c>
      <c r="AB105" t="s">
        <v>35</v>
      </c>
      <c r="AD105" t="s">
        <v>36</v>
      </c>
      <c r="AF105" t="s">
        <v>247</v>
      </c>
      <c r="AH105" t="s">
        <v>42</v>
      </c>
      <c r="AJ105" t="s">
        <v>43</v>
      </c>
      <c r="AL105">
        <v>17450</v>
      </c>
      <c r="AN105">
        <v>1</v>
      </c>
      <c r="AP105">
        <v>20000</v>
      </c>
      <c r="AR105">
        <v>20000</v>
      </c>
      <c r="AU105" t="str">
        <f t="shared" si="1"/>
        <v>Omset lainnya</v>
      </c>
    </row>
    <row r="106" spans="2:47" ht="23.1" customHeight="1">
      <c r="B106" s="9">
        <v>46253</v>
      </c>
      <c r="D106" t="s">
        <v>248</v>
      </c>
      <c r="F106" t="s">
        <v>249</v>
      </c>
      <c r="H106" s="9">
        <v>46237</v>
      </c>
      <c r="J106" t="s">
        <v>27</v>
      </c>
      <c r="L106" t="s">
        <v>250</v>
      </c>
      <c r="N106" t="s">
        <v>251</v>
      </c>
      <c r="P106" t="s">
        <v>64</v>
      </c>
      <c r="R106" t="s">
        <v>31</v>
      </c>
      <c r="T106" t="s">
        <v>94</v>
      </c>
      <c r="V106" t="s">
        <v>127</v>
      </c>
      <c r="X106" t="s">
        <v>127</v>
      </c>
      <c r="Z106" t="s">
        <v>64</v>
      </c>
      <c r="AB106" t="s">
        <v>111</v>
      </c>
      <c r="AD106" t="s">
        <v>36</v>
      </c>
      <c r="AF106" t="s">
        <v>252</v>
      </c>
      <c r="AH106" t="s">
        <v>357</v>
      </c>
      <c r="AJ106" t="s">
        <v>358</v>
      </c>
      <c r="AL106">
        <v>29000</v>
      </c>
      <c r="AN106">
        <v>1</v>
      </c>
      <c r="AP106">
        <v>30000</v>
      </c>
      <c r="AR106">
        <v>30000</v>
      </c>
      <c r="AU106" t="str">
        <f t="shared" si="1"/>
        <v>Omset lainnya</v>
      </c>
    </row>
    <row r="107" spans="2:47" ht="23.1" customHeight="1">
      <c r="B107" s="9">
        <v>46237</v>
      </c>
      <c r="D107" t="s">
        <v>231</v>
      </c>
      <c r="F107" t="s">
        <v>232</v>
      </c>
      <c r="H107" s="9">
        <v>46237</v>
      </c>
      <c r="J107" t="s">
        <v>54</v>
      </c>
      <c r="L107" t="s">
        <v>233</v>
      </c>
      <c r="N107" t="s">
        <v>234</v>
      </c>
      <c r="P107" t="s">
        <v>57</v>
      </c>
      <c r="R107" t="s">
        <v>31</v>
      </c>
      <c r="T107" t="s">
        <v>94</v>
      </c>
      <c r="V107" t="s">
        <v>127</v>
      </c>
      <c r="X107" t="s">
        <v>127</v>
      </c>
      <c r="Z107" t="s">
        <v>57</v>
      </c>
      <c r="AB107" t="s">
        <v>111</v>
      </c>
      <c r="AD107" t="s">
        <v>65</v>
      </c>
      <c r="AF107" t="s">
        <v>235</v>
      </c>
      <c r="AH107" t="s">
        <v>359</v>
      </c>
      <c r="AJ107" t="s">
        <v>360</v>
      </c>
      <c r="AL107">
        <v>21500</v>
      </c>
      <c r="AN107">
        <v>1</v>
      </c>
      <c r="AP107">
        <v>24000</v>
      </c>
      <c r="AR107">
        <v>24000</v>
      </c>
      <c r="AU107" t="str">
        <f t="shared" si="1"/>
        <v>Omset lainnya</v>
      </c>
    </row>
    <row r="108" spans="2:47" ht="23.1" customHeight="1">
      <c r="B108" s="9">
        <v>46238</v>
      </c>
      <c r="D108" t="s">
        <v>361</v>
      </c>
      <c r="F108" t="s">
        <v>362</v>
      </c>
      <c r="H108" s="9">
        <v>46234</v>
      </c>
      <c r="J108" t="s">
        <v>27</v>
      </c>
      <c r="L108" t="s">
        <v>363</v>
      </c>
      <c r="N108" t="s">
        <v>364</v>
      </c>
      <c r="P108" t="s">
        <v>64</v>
      </c>
      <c r="R108" t="s">
        <v>173</v>
      </c>
      <c r="T108" t="s">
        <v>41</v>
      </c>
      <c r="V108" t="s">
        <v>33</v>
      </c>
      <c r="X108" t="s">
        <v>33</v>
      </c>
      <c r="Z108" t="s">
        <v>64</v>
      </c>
      <c r="AB108" t="s">
        <v>365</v>
      </c>
      <c r="AD108" t="s">
        <v>366</v>
      </c>
      <c r="AF108" t="s">
        <v>367</v>
      </c>
      <c r="AH108" t="s">
        <v>42</v>
      </c>
      <c r="AJ108" t="s">
        <v>43</v>
      </c>
      <c r="AL108">
        <v>17450</v>
      </c>
      <c r="AN108">
        <v>1</v>
      </c>
      <c r="AP108">
        <v>20000</v>
      </c>
      <c r="AR108">
        <v>20000</v>
      </c>
      <c r="AU108" t="str">
        <f t="shared" si="1"/>
        <v>Omset lainnya</v>
      </c>
    </row>
    <row r="109" spans="2:47" ht="23.1" customHeight="1">
      <c r="B109" s="9">
        <v>46239</v>
      </c>
      <c r="D109" t="s">
        <v>368</v>
      </c>
      <c r="F109" t="s">
        <v>369</v>
      </c>
      <c r="H109" s="9">
        <v>46236</v>
      </c>
      <c r="J109" t="s">
        <v>54</v>
      </c>
      <c r="L109" t="s">
        <v>300</v>
      </c>
      <c r="N109" t="s">
        <v>301</v>
      </c>
      <c r="P109" t="s">
        <v>57</v>
      </c>
      <c r="R109" t="s">
        <v>31</v>
      </c>
      <c r="T109" t="s">
        <v>94</v>
      </c>
      <c r="V109" t="s">
        <v>127</v>
      </c>
      <c r="X109" t="s">
        <v>127</v>
      </c>
      <c r="Z109" t="s">
        <v>57</v>
      </c>
      <c r="AB109" t="s">
        <v>186</v>
      </c>
      <c r="AD109" t="s">
        <v>36</v>
      </c>
      <c r="AF109" t="s">
        <v>370</v>
      </c>
      <c r="AH109" t="s">
        <v>371</v>
      </c>
      <c r="AJ109" t="s">
        <v>372</v>
      </c>
      <c r="AL109">
        <v>7000</v>
      </c>
      <c r="AN109">
        <v>1</v>
      </c>
      <c r="AP109">
        <v>20000</v>
      </c>
      <c r="AR109">
        <v>20000</v>
      </c>
      <c r="AU109" t="str">
        <f t="shared" si="1"/>
        <v>Omset lainnya</v>
      </c>
    </row>
    <row r="110" spans="2:47" ht="23.1" customHeight="1">
      <c r="B110" s="9">
        <v>46239</v>
      </c>
      <c r="D110" t="s">
        <v>368</v>
      </c>
      <c r="F110" t="s">
        <v>369</v>
      </c>
      <c r="H110" s="9">
        <v>46236</v>
      </c>
      <c r="J110" t="s">
        <v>54</v>
      </c>
      <c r="L110" t="s">
        <v>300</v>
      </c>
      <c r="N110" t="s">
        <v>301</v>
      </c>
      <c r="P110" t="s">
        <v>57</v>
      </c>
      <c r="R110" t="s">
        <v>31</v>
      </c>
      <c r="T110" t="s">
        <v>94</v>
      </c>
      <c r="V110" t="s">
        <v>127</v>
      </c>
      <c r="X110" t="s">
        <v>127</v>
      </c>
      <c r="Z110" t="s">
        <v>57</v>
      </c>
      <c r="AB110" t="s">
        <v>186</v>
      </c>
      <c r="AD110" t="s">
        <v>36</v>
      </c>
      <c r="AF110" t="s">
        <v>370</v>
      </c>
      <c r="AH110" t="s">
        <v>373</v>
      </c>
      <c r="AJ110" t="s">
        <v>374</v>
      </c>
      <c r="AL110">
        <v>8000</v>
      </c>
      <c r="AN110">
        <v>1</v>
      </c>
      <c r="AP110">
        <v>20000</v>
      </c>
      <c r="AR110">
        <v>20000</v>
      </c>
      <c r="AU110" t="str">
        <f t="shared" si="1"/>
        <v>Omset lainnya</v>
      </c>
    </row>
    <row r="111" spans="2:47" ht="23.1" customHeight="1">
      <c r="B111" s="9">
        <v>46238</v>
      </c>
      <c r="D111" t="s">
        <v>361</v>
      </c>
      <c r="F111" t="s">
        <v>362</v>
      </c>
      <c r="H111" s="9">
        <v>46234</v>
      </c>
      <c r="J111" t="s">
        <v>27</v>
      </c>
      <c r="L111" t="s">
        <v>363</v>
      </c>
      <c r="N111" t="s">
        <v>364</v>
      </c>
      <c r="P111" t="s">
        <v>64</v>
      </c>
      <c r="R111" t="s">
        <v>173</v>
      </c>
      <c r="T111" t="s">
        <v>32</v>
      </c>
      <c r="V111" t="s">
        <v>33</v>
      </c>
      <c r="X111" t="s">
        <v>33</v>
      </c>
      <c r="Z111" t="s">
        <v>64</v>
      </c>
      <c r="AB111" t="s">
        <v>365</v>
      </c>
      <c r="AD111" t="s">
        <v>366</v>
      </c>
      <c r="AF111" t="s">
        <v>367</v>
      </c>
      <c r="AH111" t="s">
        <v>375</v>
      </c>
      <c r="AJ111" t="s">
        <v>376</v>
      </c>
      <c r="AL111">
        <v>0</v>
      </c>
      <c r="AN111">
        <v>1</v>
      </c>
      <c r="AP111">
        <v>380000</v>
      </c>
      <c r="AR111">
        <v>380000</v>
      </c>
      <c r="AU111" t="str">
        <f t="shared" si="1"/>
        <v>Omset Normal</v>
      </c>
    </row>
    <row r="112" spans="2:47" ht="23.1" customHeight="1">
      <c r="B112" s="9">
        <v>46238</v>
      </c>
      <c r="D112" t="s">
        <v>377</v>
      </c>
      <c r="F112" t="s">
        <v>378</v>
      </c>
      <c r="H112" s="9">
        <v>46238</v>
      </c>
      <c r="J112" t="s">
        <v>27</v>
      </c>
      <c r="L112" t="s">
        <v>331</v>
      </c>
      <c r="N112" t="s">
        <v>332</v>
      </c>
      <c r="P112" t="s">
        <v>57</v>
      </c>
      <c r="R112" t="s">
        <v>31</v>
      </c>
      <c r="T112" t="s">
        <v>94</v>
      </c>
      <c r="V112" t="s">
        <v>71</v>
      </c>
      <c r="X112" t="s">
        <v>71</v>
      </c>
      <c r="Z112" t="s">
        <v>64</v>
      </c>
      <c r="AB112" t="s">
        <v>35</v>
      </c>
      <c r="AD112" t="s">
        <v>65</v>
      </c>
      <c r="AF112" t="s">
        <v>379</v>
      </c>
      <c r="AH112" t="s">
        <v>380</v>
      </c>
      <c r="AJ112" t="s">
        <v>381</v>
      </c>
      <c r="AL112">
        <v>2500000</v>
      </c>
      <c r="AN112">
        <v>1</v>
      </c>
      <c r="AP112">
        <v>2500000</v>
      </c>
      <c r="AR112">
        <v>2500000</v>
      </c>
      <c r="AT112" t="s">
        <v>57</v>
      </c>
      <c r="AU112" t="str">
        <f t="shared" si="1"/>
        <v>Omset lainnya</v>
      </c>
    </row>
    <row r="113" spans="2:47" ht="23.1" customHeight="1">
      <c r="B113" s="9">
        <v>46239</v>
      </c>
      <c r="D113" t="s">
        <v>382</v>
      </c>
      <c r="F113" t="s">
        <v>383</v>
      </c>
      <c r="H113" s="9">
        <v>46238</v>
      </c>
      <c r="J113" t="s">
        <v>27</v>
      </c>
      <c r="L113" t="s">
        <v>384</v>
      </c>
      <c r="N113" t="s">
        <v>385</v>
      </c>
      <c r="P113" t="s">
        <v>64</v>
      </c>
      <c r="R113" t="s">
        <v>173</v>
      </c>
      <c r="T113" t="s">
        <v>32</v>
      </c>
      <c r="V113" t="s">
        <v>33</v>
      </c>
      <c r="X113" t="s">
        <v>33</v>
      </c>
      <c r="Z113" t="s">
        <v>64</v>
      </c>
      <c r="AB113" t="s">
        <v>386</v>
      </c>
      <c r="AD113" t="s">
        <v>165</v>
      </c>
      <c r="AF113" t="s">
        <v>387</v>
      </c>
      <c r="AH113" t="s">
        <v>388</v>
      </c>
      <c r="AJ113" t="s">
        <v>389</v>
      </c>
      <c r="AL113">
        <v>0</v>
      </c>
      <c r="AN113">
        <v>1</v>
      </c>
      <c r="AP113">
        <v>130000</v>
      </c>
      <c r="AR113">
        <v>130000</v>
      </c>
      <c r="AT113" t="s">
        <v>64</v>
      </c>
      <c r="AU113" t="str">
        <f t="shared" si="1"/>
        <v>Omset Normal</v>
      </c>
    </row>
    <row r="114" spans="2:47" ht="23.1" customHeight="1">
      <c r="B114" s="9">
        <v>46240</v>
      </c>
      <c r="D114" t="s">
        <v>89</v>
      </c>
      <c r="F114" t="s">
        <v>90</v>
      </c>
      <c r="H114" s="9">
        <v>46234</v>
      </c>
      <c r="J114" t="s">
        <v>54</v>
      </c>
      <c r="L114" t="s">
        <v>91</v>
      </c>
      <c r="N114" t="s">
        <v>92</v>
      </c>
      <c r="P114" t="s">
        <v>93</v>
      </c>
      <c r="R114" t="s">
        <v>31</v>
      </c>
      <c r="T114" t="s">
        <v>32</v>
      </c>
      <c r="V114" t="s">
        <v>71</v>
      </c>
      <c r="X114" t="s">
        <v>71</v>
      </c>
      <c r="Z114" t="s">
        <v>57</v>
      </c>
      <c r="AB114" t="s">
        <v>95</v>
      </c>
      <c r="AD114" t="s">
        <v>96</v>
      </c>
      <c r="AF114" t="s">
        <v>97</v>
      </c>
      <c r="AH114" t="s">
        <v>390</v>
      </c>
      <c r="AJ114" t="s">
        <v>391</v>
      </c>
      <c r="AL114">
        <v>0</v>
      </c>
      <c r="AN114">
        <v>1</v>
      </c>
      <c r="AP114">
        <v>445000</v>
      </c>
      <c r="AR114">
        <v>445000</v>
      </c>
      <c r="AU114" t="str">
        <f t="shared" si="1"/>
        <v>Omset Interface</v>
      </c>
    </row>
    <row r="115" spans="2:47" ht="23.1" customHeight="1">
      <c r="B115" s="9">
        <v>46239</v>
      </c>
      <c r="D115" t="s">
        <v>392</v>
      </c>
      <c r="F115" t="s">
        <v>393</v>
      </c>
      <c r="H115" s="9">
        <v>46238</v>
      </c>
      <c r="J115" t="s">
        <v>27</v>
      </c>
      <c r="L115" t="s">
        <v>394</v>
      </c>
      <c r="N115" t="s">
        <v>395</v>
      </c>
      <c r="P115" t="s">
        <v>64</v>
      </c>
      <c r="R115" t="s">
        <v>31</v>
      </c>
      <c r="T115" t="s">
        <v>94</v>
      </c>
      <c r="V115" t="s">
        <v>71</v>
      </c>
      <c r="X115" t="s">
        <v>127</v>
      </c>
      <c r="Z115" t="s">
        <v>64</v>
      </c>
      <c r="AB115" t="s">
        <v>396</v>
      </c>
      <c r="AD115" t="s">
        <v>36</v>
      </c>
      <c r="AF115" t="s">
        <v>397</v>
      </c>
      <c r="AH115" t="s">
        <v>398</v>
      </c>
      <c r="AJ115" t="s">
        <v>399</v>
      </c>
      <c r="AL115">
        <v>41000</v>
      </c>
      <c r="AN115">
        <v>1</v>
      </c>
      <c r="AP115">
        <v>50000</v>
      </c>
      <c r="AR115">
        <v>50000</v>
      </c>
      <c r="AT115" t="s">
        <v>64</v>
      </c>
      <c r="AU115" t="str">
        <f t="shared" si="1"/>
        <v>Omset lainnya</v>
      </c>
    </row>
    <row r="116" spans="2:47" ht="23.1" customHeight="1">
      <c r="B116" s="9">
        <v>46237</v>
      </c>
      <c r="D116" t="s">
        <v>238</v>
      </c>
      <c r="F116" t="s">
        <v>239</v>
      </c>
      <c r="H116" s="9">
        <v>46237</v>
      </c>
      <c r="J116" t="s">
        <v>27</v>
      </c>
      <c r="L116" t="s">
        <v>240</v>
      </c>
      <c r="N116" t="s">
        <v>241</v>
      </c>
      <c r="P116" t="s">
        <v>64</v>
      </c>
      <c r="R116" t="s">
        <v>31</v>
      </c>
      <c r="T116" t="s">
        <v>94</v>
      </c>
      <c r="V116" t="s">
        <v>127</v>
      </c>
      <c r="X116" t="s">
        <v>127</v>
      </c>
      <c r="Z116" t="s">
        <v>64</v>
      </c>
      <c r="AB116" t="s">
        <v>35</v>
      </c>
      <c r="AD116" t="s">
        <v>128</v>
      </c>
      <c r="AF116" t="s">
        <v>242</v>
      </c>
      <c r="AH116" t="s">
        <v>400</v>
      </c>
      <c r="AJ116" t="s">
        <v>401</v>
      </c>
      <c r="AL116">
        <v>125000</v>
      </c>
      <c r="AN116">
        <v>1</v>
      </c>
      <c r="AP116">
        <v>130000</v>
      </c>
      <c r="AR116">
        <v>130000</v>
      </c>
      <c r="AT116" t="s">
        <v>64</v>
      </c>
      <c r="AU116" t="str">
        <f t="shared" si="1"/>
        <v>Omset lainnya</v>
      </c>
    </row>
    <row r="117" spans="2:47" ht="23.1" customHeight="1">
      <c r="B117" s="9">
        <v>46238</v>
      </c>
      <c r="D117" t="s">
        <v>377</v>
      </c>
      <c r="F117" t="s">
        <v>378</v>
      </c>
      <c r="H117" s="9">
        <v>46238</v>
      </c>
      <c r="J117" t="s">
        <v>27</v>
      </c>
      <c r="L117" t="s">
        <v>331</v>
      </c>
      <c r="N117" t="s">
        <v>332</v>
      </c>
      <c r="P117" t="s">
        <v>57</v>
      </c>
      <c r="R117" t="s">
        <v>31</v>
      </c>
      <c r="T117" t="s">
        <v>32</v>
      </c>
      <c r="V117" t="s">
        <v>71</v>
      </c>
      <c r="X117" t="s">
        <v>71</v>
      </c>
      <c r="Z117" t="s">
        <v>64</v>
      </c>
      <c r="AB117" t="s">
        <v>35</v>
      </c>
      <c r="AD117" t="s">
        <v>65</v>
      </c>
      <c r="AF117" t="s">
        <v>379</v>
      </c>
      <c r="AH117" t="s">
        <v>38</v>
      </c>
      <c r="AJ117" t="s">
        <v>39</v>
      </c>
      <c r="AL117">
        <v>0</v>
      </c>
      <c r="AN117">
        <v>1</v>
      </c>
      <c r="AP117">
        <v>185000</v>
      </c>
      <c r="AR117">
        <v>185000</v>
      </c>
      <c r="AT117" t="s">
        <v>57</v>
      </c>
      <c r="AU117" t="str">
        <f t="shared" si="1"/>
        <v>Omset Interface</v>
      </c>
    </row>
    <row r="118" spans="2:47" ht="23.1" customHeight="1">
      <c r="B118" s="9">
        <v>46238</v>
      </c>
      <c r="D118" t="s">
        <v>377</v>
      </c>
      <c r="F118" t="s">
        <v>378</v>
      </c>
      <c r="H118" s="9">
        <v>46238</v>
      </c>
      <c r="J118" t="s">
        <v>27</v>
      </c>
      <c r="L118" t="s">
        <v>331</v>
      </c>
      <c r="N118" t="s">
        <v>332</v>
      </c>
      <c r="P118" t="s">
        <v>57</v>
      </c>
      <c r="R118" t="s">
        <v>31</v>
      </c>
      <c r="T118" t="s">
        <v>41</v>
      </c>
      <c r="V118" t="s">
        <v>71</v>
      </c>
      <c r="X118" t="s">
        <v>71</v>
      </c>
      <c r="Z118" t="s">
        <v>64</v>
      </c>
      <c r="AB118" t="s">
        <v>35</v>
      </c>
      <c r="AD118" t="s">
        <v>65</v>
      </c>
      <c r="AF118" t="s">
        <v>379</v>
      </c>
      <c r="AH118" t="s">
        <v>180</v>
      </c>
      <c r="AJ118" t="s">
        <v>181</v>
      </c>
      <c r="AL118">
        <v>20000</v>
      </c>
      <c r="AN118">
        <v>1</v>
      </c>
      <c r="AP118">
        <v>75000</v>
      </c>
      <c r="AR118">
        <v>75000</v>
      </c>
      <c r="AT118" t="s">
        <v>57</v>
      </c>
      <c r="AU118" t="str">
        <f t="shared" si="1"/>
        <v>Omset lainnya</v>
      </c>
    </row>
    <row r="119" spans="2:47" ht="23.1" customHeight="1">
      <c r="B119" s="9">
        <v>46239</v>
      </c>
      <c r="D119" t="s">
        <v>402</v>
      </c>
      <c r="F119" t="s">
        <v>403</v>
      </c>
      <c r="H119" s="9">
        <v>46239</v>
      </c>
      <c r="J119" t="s">
        <v>27</v>
      </c>
      <c r="L119" t="s">
        <v>404</v>
      </c>
      <c r="N119" t="s">
        <v>405</v>
      </c>
      <c r="P119" t="s">
        <v>64</v>
      </c>
      <c r="R119" t="s">
        <v>31</v>
      </c>
      <c r="T119" t="s">
        <v>32</v>
      </c>
      <c r="V119" t="s">
        <v>127</v>
      </c>
      <c r="X119" t="s">
        <v>127</v>
      </c>
      <c r="Z119" t="s">
        <v>64</v>
      </c>
      <c r="AB119" t="s">
        <v>35</v>
      </c>
      <c r="AD119" t="s">
        <v>65</v>
      </c>
      <c r="AF119" t="s">
        <v>198</v>
      </c>
      <c r="AH119" t="s">
        <v>38</v>
      </c>
      <c r="AJ119" t="s">
        <v>39</v>
      </c>
      <c r="AL119">
        <v>0</v>
      </c>
      <c r="AN119">
        <v>1</v>
      </c>
      <c r="AP119">
        <v>85000</v>
      </c>
      <c r="AR119">
        <v>85000</v>
      </c>
      <c r="AT119" t="s">
        <v>64</v>
      </c>
      <c r="AU119" t="str">
        <f t="shared" si="1"/>
        <v>Omset Interface</v>
      </c>
    </row>
    <row r="120" spans="2:47" ht="23.1" customHeight="1">
      <c r="B120" s="9">
        <v>46239</v>
      </c>
      <c r="D120" t="s">
        <v>402</v>
      </c>
      <c r="F120" t="s">
        <v>403</v>
      </c>
      <c r="H120" s="9">
        <v>46239</v>
      </c>
      <c r="J120" t="s">
        <v>27</v>
      </c>
      <c r="L120" t="s">
        <v>404</v>
      </c>
      <c r="N120" t="s">
        <v>405</v>
      </c>
      <c r="P120" t="s">
        <v>64</v>
      </c>
      <c r="R120" t="s">
        <v>31</v>
      </c>
      <c r="T120" t="s">
        <v>41</v>
      </c>
      <c r="V120" t="s">
        <v>127</v>
      </c>
      <c r="X120" t="s">
        <v>127</v>
      </c>
      <c r="Z120" t="s">
        <v>64</v>
      </c>
      <c r="AB120" t="s">
        <v>35</v>
      </c>
      <c r="AD120" t="s">
        <v>65</v>
      </c>
      <c r="AF120" t="s">
        <v>198</v>
      </c>
      <c r="AH120" t="s">
        <v>180</v>
      </c>
      <c r="AJ120" t="s">
        <v>181</v>
      </c>
      <c r="AL120">
        <v>20000</v>
      </c>
      <c r="AN120">
        <v>1</v>
      </c>
      <c r="AP120">
        <v>30000</v>
      </c>
      <c r="AR120">
        <v>30000</v>
      </c>
      <c r="AT120" t="s">
        <v>64</v>
      </c>
      <c r="AU120" t="str">
        <f t="shared" si="1"/>
        <v>Omset lainnya</v>
      </c>
    </row>
    <row r="121" spans="2:47" ht="23.1" customHeight="1">
      <c r="B121" s="9">
        <v>46239</v>
      </c>
      <c r="D121" t="s">
        <v>406</v>
      </c>
      <c r="F121" t="s">
        <v>407</v>
      </c>
      <c r="H121" s="9">
        <v>46239</v>
      </c>
      <c r="J121" t="s">
        <v>54</v>
      </c>
      <c r="L121" t="s">
        <v>408</v>
      </c>
      <c r="N121" t="s">
        <v>409</v>
      </c>
      <c r="P121" t="s">
        <v>57</v>
      </c>
      <c r="R121" t="s">
        <v>31</v>
      </c>
      <c r="T121" t="s">
        <v>32</v>
      </c>
      <c r="V121" t="s">
        <v>33</v>
      </c>
      <c r="X121" t="s">
        <v>33</v>
      </c>
      <c r="Z121" t="s">
        <v>57</v>
      </c>
      <c r="AB121" t="s">
        <v>95</v>
      </c>
      <c r="AD121" t="s">
        <v>36</v>
      </c>
      <c r="AF121" t="s">
        <v>410</v>
      </c>
      <c r="AH121" t="s">
        <v>114</v>
      </c>
      <c r="AJ121" t="s">
        <v>115</v>
      </c>
      <c r="AL121">
        <v>0</v>
      </c>
      <c r="AN121">
        <v>1</v>
      </c>
      <c r="AP121">
        <v>80000</v>
      </c>
      <c r="AR121">
        <v>80000</v>
      </c>
      <c r="AT121" t="s">
        <v>57</v>
      </c>
      <c r="AU121" t="str">
        <f t="shared" si="1"/>
        <v>Omset Normal</v>
      </c>
    </row>
    <row r="122" spans="2:47" ht="23.1" customHeight="1">
      <c r="B122" s="9">
        <v>46239</v>
      </c>
      <c r="D122" t="s">
        <v>406</v>
      </c>
      <c r="F122" t="s">
        <v>407</v>
      </c>
      <c r="H122" s="9">
        <v>46239</v>
      </c>
      <c r="J122" t="s">
        <v>54</v>
      </c>
      <c r="L122" t="s">
        <v>408</v>
      </c>
      <c r="N122" t="s">
        <v>409</v>
      </c>
      <c r="P122" t="s">
        <v>57</v>
      </c>
      <c r="R122" t="s">
        <v>31</v>
      </c>
      <c r="T122" t="s">
        <v>41</v>
      </c>
      <c r="V122" t="s">
        <v>33</v>
      </c>
      <c r="X122" t="s">
        <v>33</v>
      </c>
      <c r="Z122" t="s">
        <v>57</v>
      </c>
      <c r="AB122" t="s">
        <v>95</v>
      </c>
      <c r="AD122" t="s">
        <v>36</v>
      </c>
      <c r="AF122" t="s">
        <v>410</v>
      </c>
      <c r="AH122" t="s">
        <v>42</v>
      </c>
      <c r="AJ122" t="s">
        <v>43</v>
      </c>
      <c r="AL122">
        <v>17450</v>
      </c>
      <c r="AN122">
        <v>1</v>
      </c>
      <c r="AP122">
        <v>20000</v>
      </c>
      <c r="AR122">
        <v>20000</v>
      </c>
      <c r="AT122" t="s">
        <v>57</v>
      </c>
      <c r="AU122" t="str">
        <f t="shared" si="1"/>
        <v>Omset lainnya</v>
      </c>
    </row>
    <row r="123" spans="2:47" ht="23.1" customHeight="1">
      <c r="B123" s="9">
        <v>46239</v>
      </c>
      <c r="D123" t="s">
        <v>392</v>
      </c>
      <c r="F123" t="s">
        <v>393</v>
      </c>
      <c r="H123" s="9">
        <v>46238</v>
      </c>
      <c r="J123" t="s">
        <v>27</v>
      </c>
      <c r="L123" t="s">
        <v>394</v>
      </c>
      <c r="N123" t="s">
        <v>395</v>
      </c>
      <c r="P123" t="s">
        <v>64</v>
      </c>
      <c r="R123" t="s">
        <v>31</v>
      </c>
      <c r="T123" t="s">
        <v>32</v>
      </c>
      <c r="V123" t="s">
        <v>71</v>
      </c>
      <c r="X123" t="s">
        <v>127</v>
      </c>
      <c r="Z123" t="s">
        <v>64</v>
      </c>
      <c r="AB123" t="s">
        <v>396</v>
      </c>
      <c r="AD123" t="s">
        <v>36</v>
      </c>
      <c r="AF123" t="s">
        <v>397</v>
      </c>
      <c r="AH123" t="s">
        <v>114</v>
      </c>
      <c r="AJ123" t="s">
        <v>115</v>
      </c>
      <c r="AL123">
        <v>0</v>
      </c>
      <c r="AN123">
        <v>1</v>
      </c>
      <c r="AP123">
        <v>180000</v>
      </c>
      <c r="AR123">
        <v>180000</v>
      </c>
      <c r="AT123" t="s">
        <v>64</v>
      </c>
      <c r="AU123" t="str">
        <f t="shared" si="1"/>
        <v>Omset Normal</v>
      </c>
    </row>
    <row r="124" spans="2:47" ht="23.1" customHeight="1">
      <c r="B124" s="9">
        <v>46239</v>
      </c>
      <c r="D124" t="s">
        <v>392</v>
      </c>
      <c r="F124" t="s">
        <v>393</v>
      </c>
      <c r="H124" s="9">
        <v>46238</v>
      </c>
      <c r="J124" t="s">
        <v>27</v>
      </c>
      <c r="L124" t="s">
        <v>394</v>
      </c>
      <c r="N124" t="s">
        <v>395</v>
      </c>
      <c r="P124" t="s">
        <v>64</v>
      </c>
      <c r="R124" t="s">
        <v>31</v>
      </c>
      <c r="T124" t="s">
        <v>41</v>
      </c>
      <c r="V124" t="s">
        <v>71</v>
      </c>
      <c r="X124" t="s">
        <v>127</v>
      </c>
      <c r="Z124" t="s">
        <v>64</v>
      </c>
      <c r="AB124" t="s">
        <v>396</v>
      </c>
      <c r="AD124" t="s">
        <v>36</v>
      </c>
      <c r="AF124" t="s">
        <v>397</v>
      </c>
      <c r="AH124" t="s">
        <v>42</v>
      </c>
      <c r="AJ124" t="s">
        <v>43</v>
      </c>
      <c r="AL124">
        <v>17450</v>
      </c>
      <c r="AN124">
        <v>1</v>
      </c>
      <c r="AP124">
        <v>20000</v>
      </c>
      <c r="AR124">
        <v>20000</v>
      </c>
      <c r="AT124" t="s">
        <v>64</v>
      </c>
      <c r="AU124" t="str">
        <f t="shared" si="1"/>
        <v>Omset lainnya</v>
      </c>
    </row>
    <row r="125" spans="2:47" ht="23.1" customHeight="1">
      <c r="B125" s="9">
        <v>46239</v>
      </c>
      <c r="D125" t="s">
        <v>411</v>
      </c>
      <c r="F125" t="s">
        <v>412</v>
      </c>
      <c r="H125" s="9">
        <v>46239</v>
      </c>
      <c r="J125" t="s">
        <v>54</v>
      </c>
      <c r="L125" t="s">
        <v>300</v>
      </c>
      <c r="N125" t="s">
        <v>301</v>
      </c>
      <c r="P125" t="s">
        <v>57</v>
      </c>
      <c r="R125" t="s">
        <v>31</v>
      </c>
      <c r="T125" t="s">
        <v>32</v>
      </c>
      <c r="V125" t="s">
        <v>33</v>
      </c>
      <c r="X125" t="s">
        <v>33</v>
      </c>
      <c r="Z125" t="s">
        <v>57</v>
      </c>
      <c r="AB125" t="s">
        <v>268</v>
      </c>
      <c r="AD125" t="s">
        <v>36</v>
      </c>
      <c r="AF125" t="s">
        <v>413</v>
      </c>
      <c r="AH125" t="s">
        <v>270</v>
      </c>
      <c r="AJ125" t="s">
        <v>271</v>
      </c>
      <c r="AL125">
        <v>0</v>
      </c>
      <c r="AN125">
        <v>1</v>
      </c>
      <c r="AP125">
        <v>340000</v>
      </c>
      <c r="AR125">
        <v>340000</v>
      </c>
      <c r="AU125" t="str">
        <f t="shared" si="1"/>
        <v>Omset Interface</v>
      </c>
    </row>
    <row r="126" spans="2:47" ht="23.1" customHeight="1">
      <c r="B126" s="9">
        <v>46239</v>
      </c>
      <c r="D126" t="s">
        <v>411</v>
      </c>
      <c r="F126" t="s">
        <v>412</v>
      </c>
      <c r="H126" s="9">
        <v>46239</v>
      </c>
      <c r="J126" t="s">
        <v>54</v>
      </c>
      <c r="L126" t="s">
        <v>300</v>
      </c>
      <c r="N126" t="s">
        <v>301</v>
      </c>
      <c r="P126" t="s">
        <v>57</v>
      </c>
      <c r="R126" t="s">
        <v>31</v>
      </c>
      <c r="T126" t="s">
        <v>32</v>
      </c>
      <c r="V126" t="s">
        <v>33</v>
      </c>
      <c r="X126" t="s">
        <v>33</v>
      </c>
      <c r="Z126" t="s">
        <v>57</v>
      </c>
      <c r="AB126" t="s">
        <v>268</v>
      </c>
      <c r="AD126" t="s">
        <v>36</v>
      </c>
      <c r="AF126" t="s">
        <v>413</v>
      </c>
      <c r="AH126" t="s">
        <v>414</v>
      </c>
      <c r="AJ126" t="s">
        <v>415</v>
      </c>
      <c r="AL126">
        <v>0</v>
      </c>
      <c r="AN126">
        <v>1</v>
      </c>
      <c r="AP126">
        <v>30000</v>
      </c>
      <c r="AR126">
        <v>30000</v>
      </c>
      <c r="AU126" t="str">
        <f t="shared" si="1"/>
        <v>Omset Normal</v>
      </c>
    </row>
    <row r="127" spans="2:47" ht="23.1" customHeight="1">
      <c r="B127" s="9">
        <v>46239</v>
      </c>
      <c r="D127" t="s">
        <v>411</v>
      </c>
      <c r="F127" t="s">
        <v>412</v>
      </c>
      <c r="H127" s="9">
        <v>46239</v>
      </c>
      <c r="J127" t="s">
        <v>54</v>
      </c>
      <c r="L127" t="s">
        <v>300</v>
      </c>
      <c r="N127" t="s">
        <v>301</v>
      </c>
      <c r="P127" t="s">
        <v>57</v>
      </c>
      <c r="R127" t="s">
        <v>31</v>
      </c>
      <c r="T127" t="s">
        <v>41</v>
      </c>
      <c r="V127" t="s">
        <v>33</v>
      </c>
      <c r="X127" t="s">
        <v>33</v>
      </c>
      <c r="Z127" t="s">
        <v>57</v>
      </c>
      <c r="AB127" t="s">
        <v>268</v>
      </c>
      <c r="AD127" t="s">
        <v>36</v>
      </c>
      <c r="AF127" t="s">
        <v>413</v>
      </c>
      <c r="AH127" t="s">
        <v>42</v>
      </c>
      <c r="AJ127" t="s">
        <v>43</v>
      </c>
      <c r="AL127">
        <v>17450</v>
      </c>
      <c r="AN127">
        <v>1</v>
      </c>
      <c r="AP127">
        <v>20000</v>
      </c>
      <c r="AR127">
        <v>20000</v>
      </c>
      <c r="AU127" t="str">
        <f t="shared" si="1"/>
        <v>Omset lainnya</v>
      </c>
    </row>
    <row r="128" spans="2:47" ht="23.1" customHeight="1">
      <c r="B128" s="9">
        <v>46239</v>
      </c>
      <c r="D128" t="s">
        <v>368</v>
      </c>
      <c r="F128" t="s">
        <v>369</v>
      </c>
      <c r="H128" s="9">
        <v>46236</v>
      </c>
      <c r="J128" t="s">
        <v>54</v>
      </c>
      <c r="L128" t="s">
        <v>300</v>
      </c>
      <c r="N128" t="s">
        <v>301</v>
      </c>
      <c r="P128" t="s">
        <v>57</v>
      </c>
      <c r="R128" t="s">
        <v>31</v>
      </c>
      <c r="T128" t="s">
        <v>32</v>
      </c>
      <c r="V128" t="s">
        <v>127</v>
      </c>
      <c r="X128" t="s">
        <v>127</v>
      </c>
      <c r="Z128" t="s">
        <v>57</v>
      </c>
      <c r="AB128" t="s">
        <v>186</v>
      </c>
      <c r="AD128" t="s">
        <v>36</v>
      </c>
      <c r="AF128" t="s">
        <v>370</v>
      </c>
      <c r="AH128" t="s">
        <v>114</v>
      </c>
      <c r="AJ128" t="s">
        <v>115</v>
      </c>
      <c r="AL128">
        <v>0</v>
      </c>
      <c r="AN128">
        <v>1</v>
      </c>
      <c r="AP128">
        <v>110000</v>
      </c>
      <c r="AR128">
        <v>110000</v>
      </c>
      <c r="AU128" t="str">
        <f t="shared" si="1"/>
        <v>Omset Normal</v>
      </c>
    </row>
    <row r="129" spans="2:47" ht="23.1" customHeight="1">
      <c r="B129" s="9">
        <v>46239</v>
      </c>
      <c r="D129" t="s">
        <v>416</v>
      </c>
      <c r="F129" t="s">
        <v>417</v>
      </c>
      <c r="H129" s="9">
        <v>46239</v>
      </c>
      <c r="J129" t="s">
        <v>27</v>
      </c>
      <c r="L129" t="s">
        <v>418</v>
      </c>
      <c r="N129" t="s">
        <v>419</v>
      </c>
      <c r="P129" t="s">
        <v>77</v>
      </c>
      <c r="R129" t="s">
        <v>31</v>
      </c>
      <c r="T129" t="s">
        <v>32</v>
      </c>
      <c r="V129" t="s">
        <v>49</v>
      </c>
      <c r="X129" t="s">
        <v>49</v>
      </c>
      <c r="Z129" t="s">
        <v>77</v>
      </c>
      <c r="AB129" t="s">
        <v>35</v>
      </c>
      <c r="AD129" t="s">
        <v>87</v>
      </c>
      <c r="AF129" t="s">
        <v>420</v>
      </c>
      <c r="AH129" t="s">
        <v>38</v>
      </c>
      <c r="AJ129" t="s">
        <v>39</v>
      </c>
      <c r="AL129">
        <v>0</v>
      </c>
      <c r="AN129">
        <v>1</v>
      </c>
      <c r="AP129">
        <v>35000</v>
      </c>
      <c r="AR129">
        <v>35000</v>
      </c>
      <c r="AU129" t="str">
        <f t="shared" si="1"/>
        <v>Omset Interface</v>
      </c>
    </row>
    <row r="130" spans="2:47" ht="23.1" customHeight="1">
      <c r="B130" s="9">
        <v>46239</v>
      </c>
      <c r="D130" t="s">
        <v>416</v>
      </c>
      <c r="F130" t="s">
        <v>417</v>
      </c>
      <c r="H130" s="9">
        <v>46239</v>
      </c>
      <c r="J130" t="s">
        <v>27</v>
      </c>
      <c r="L130" t="s">
        <v>418</v>
      </c>
      <c r="N130" t="s">
        <v>419</v>
      </c>
      <c r="P130" t="s">
        <v>77</v>
      </c>
      <c r="R130" t="s">
        <v>31</v>
      </c>
      <c r="T130" t="s">
        <v>41</v>
      </c>
      <c r="V130" t="s">
        <v>49</v>
      </c>
      <c r="X130" t="s">
        <v>49</v>
      </c>
      <c r="Z130" t="s">
        <v>77</v>
      </c>
      <c r="AB130" t="s">
        <v>35</v>
      </c>
      <c r="AD130" t="s">
        <v>87</v>
      </c>
      <c r="AF130" t="s">
        <v>420</v>
      </c>
      <c r="AH130" t="s">
        <v>42</v>
      </c>
      <c r="AJ130" t="s">
        <v>43</v>
      </c>
      <c r="AL130">
        <v>17450</v>
      </c>
      <c r="AN130">
        <v>1</v>
      </c>
      <c r="AP130">
        <v>10000</v>
      </c>
      <c r="AR130">
        <v>10000</v>
      </c>
      <c r="AU130" t="str">
        <f t="shared" ref="AU130:AU193" si="2">_xlfn.IFS(ISNUMBER(SEARCH("Interface", AJ130)), "Omset Interface", ISNUMBER(SEARCH("Normal", AJ130)), "Omset Normal", ISNUMBER(SEARCH("Mati Total", AJ130)), "Omset Mati Total", ISNUMBER(SEARCH("Promo", AJ130)), "Omset Promo", TRUE, "Omset lainnya")</f>
        <v>Omset lainnya</v>
      </c>
    </row>
    <row r="131" spans="2:47" ht="23.1" customHeight="1">
      <c r="B131" s="9">
        <v>46239</v>
      </c>
      <c r="D131" t="s">
        <v>416</v>
      </c>
      <c r="F131" t="s">
        <v>417</v>
      </c>
      <c r="H131" s="9">
        <v>46239</v>
      </c>
      <c r="J131" t="s">
        <v>27</v>
      </c>
      <c r="L131" t="s">
        <v>418</v>
      </c>
      <c r="N131" t="s">
        <v>419</v>
      </c>
      <c r="P131" t="s">
        <v>77</v>
      </c>
      <c r="R131" t="s">
        <v>31</v>
      </c>
      <c r="T131" t="s">
        <v>41</v>
      </c>
      <c r="V131" t="s">
        <v>49</v>
      </c>
      <c r="X131" t="s">
        <v>49</v>
      </c>
      <c r="Z131" t="s">
        <v>77</v>
      </c>
      <c r="AB131" t="s">
        <v>35</v>
      </c>
      <c r="AD131" t="s">
        <v>87</v>
      </c>
      <c r="AF131" t="s">
        <v>420</v>
      </c>
      <c r="AH131" t="s">
        <v>180</v>
      </c>
      <c r="AJ131" t="s">
        <v>181</v>
      </c>
      <c r="AL131">
        <v>20000</v>
      </c>
      <c r="AN131">
        <v>1</v>
      </c>
      <c r="AP131">
        <v>35000</v>
      </c>
      <c r="AR131">
        <v>35000</v>
      </c>
      <c r="AU131" t="str">
        <f t="shared" si="2"/>
        <v>Omset lainnya</v>
      </c>
    </row>
    <row r="132" spans="2:47" ht="23.1" customHeight="1">
      <c r="B132" s="9">
        <v>46240</v>
      </c>
      <c r="D132" t="s">
        <v>421</v>
      </c>
      <c r="F132" t="s">
        <v>422</v>
      </c>
      <c r="H132" s="9">
        <v>46237</v>
      </c>
      <c r="J132" t="s">
        <v>54</v>
      </c>
      <c r="L132" t="s">
        <v>233</v>
      </c>
      <c r="N132" t="s">
        <v>234</v>
      </c>
      <c r="P132" t="s">
        <v>57</v>
      </c>
      <c r="R132" t="s">
        <v>31</v>
      </c>
      <c r="T132" t="s">
        <v>94</v>
      </c>
      <c r="V132" t="s">
        <v>49</v>
      </c>
      <c r="X132" t="s">
        <v>49</v>
      </c>
      <c r="Z132" t="s">
        <v>64</v>
      </c>
      <c r="AB132" t="s">
        <v>95</v>
      </c>
      <c r="AD132" t="s">
        <v>65</v>
      </c>
      <c r="AF132" t="s">
        <v>423</v>
      </c>
      <c r="AH132" t="s">
        <v>424</v>
      </c>
      <c r="AJ132" t="s">
        <v>425</v>
      </c>
      <c r="AL132">
        <v>95000</v>
      </c>
      <c r="AN132">
        <v>1</v>
      </c>
      <c r="AP132">
        <v>100000</v>
      </c>
      <c r="AR132">
        <v>100000</v>
      </c>
      <c r="AU132" t="str">
        <f t="shared" si="2"/>
        <v>Omset lainnya</v>
      </c>
    </row>
    <row r="133" spans="2:47" ht="23.1" customHeight="1">
      <c r="B133" s="9">
        <v>46239</v>
      </c>
      <c r="D133" t="s">
        <v>402</v>
      </c>
      <c r="F133" t="s">
        <v>403</v>
      </c>
      <c r="H133" s="9">
        <v>46239</v>
      </c>
      <c r="J133" t="s">
        <v>27</v>
      </c>
      <c r="L133" t="s">
        <v>404</v>
      </c>
      <c r="N133" t="s">
        <v>405</v>
      </c>
      <c r="P133" t="s">
        <v>64</v>
      </c>
      <c r="R133" t="s">
        <v>31</v>
      </c>
      <c r="T133" t="s">
        <v>94</v>
      </c>
      <c r="V133" t="s">
        <v>127</v>
      </c>
      <c r="X133" t="s">
        <v>127</v>
      </c>
      <c r="Z133" t="s">
        <v>64</v>
      </c>
      <c r="AB133" t="s">
        <v>35</v>
      </c>
      <c r="AD133" t="s">
        <v>65</v>
      </c>
      <c r="AF133" t="s">
        <v>198</v>
      </c>
      <c r="AH133" t="s">
        <v>426</v>
      </c>
      <c r="AJ133" t="s">
        <v>427</v>
      </c>
      <c r="AL133">
        <v>125000</v>
      </c>
      <c r="AN133">
        <v>1</v>
      </c>
      <c r="AP133">
        <v>135000</v>
      </c>
      <c r="AR133">
        <v>135000</v>
      </c>
      <c r="AT133" t="s">
        <v>64</v>
      </c>
      <c r="AU133" t="str">
        <f t="shared" si="2"/>
        <v>Omset lainnya</v>
      </c>
    </row>
    <row r="134" spans="2:47" ht="23.1" customHeight="1">
      <c r="B134" s="9">
        <v>46239</v>
      </c>
      <c r="D134" t="s">
        <v>416</v>
      </c>
      <c r="F134" t="s">
        <v>417</v>
      </c>
      <c r="H134" s="9">
        <v>46239</v>
      </c>
      <c r="J134" t="s">
        <v>27</v>
      </c>
      <c r="L134" t="s">
        <v>418</v>
      </c>
      <c r="N134" t="s">
        <v>419</v>
      </c>
      <c r="P134" t="s">
        <v>77</v>
      </c>
      <c r="R134" t="s">
        <v>31</v>
      </c>
      <c r="T134" t="s">
        <v>94</v>
      </c>
      <c r="V134" t="s">
        <v>49</v>
      </c>
      <c r="X134" t="s">
        <v>49</v>
      </c>
      <c r="Z134" t="s">
        <v>77</v>
      </c>
      <c r="AB134" t="s">
        <v>35</v>
      </c>
      <c r="AD134" t="s">
        <v>87</v>
      </c>
      <c r="AF134" t="s">
        <v>420</v>
      </c>
      <c r="AH134" t="s">
        <v>428</v>
      </c>
      <c r="AJ134" t="s">
        <v>429</v>
      </c>
      <c r="AL134">
        <v>220000</v>
      </c>
      <c r="AN134">
        <v>1</v>
      </c>
      <c r="AP134">
        <v>240000</v>
      </c>
      <c r="AR134">
        <v>240000</v>
      </c>
      <c r="AU134" t="str">
        <f t="shared" si="2"/>
        <v>Omset lainnya</v>
      </c>
    </row>
    <row r="135" spans="2:47" ht="23.1" customHeight="1">
      <c r="B135" s="9">
        <v>46240</v>
      </c>
      <c r="D135" t="s">
        <v>430</v>
      </c>
      <c r="F135" t="s">
        <v>431</v>
      </c>
      <c r="H135" s="9">
        <v>46240</v>
      </c>
      <c r="J135" t="s">
        <v>27</v>
      </c>
      <c r="L135" t="s">
        <v>432</v>
      </c>
      <c r="N135" t="s">
        <v>433</v>
      </c>
      <c r="P135" t="s">
        <v>64</v>
      </c>
      <c r="R135" t="s">
        <v>31</v>
      </c>
      <c r="T135" t="s">
        <v>32</v>
      </c>
      <c r="V135" t="s">
        <v>33</v>
      </c>
      <c r="X135" t="s">
        <v>33</v>
      </c>
      <c r="Z135" t="s">
        <v>64</v>
      </c>
      <c r="AB135" t="s">
        <v>268</v>
      </c>
      <c r="AD135" t="s">
        <v>128</v>
      </c>
      <c r="AF135" t="s">
        <v>434</v>
      </c>
      <c r="AH135" t="s">
        <v>270</v>
      </c>
      <c r="AJ135" t="s">
        <v>271</v>
      </c>
      <c r="AL135">
        <v>0</v>
      </c>
      <c r="AN135">
        <v>1</v>
      </c>
      <c r="AP135">
        <v>90000</v>
      </c>
      <c r="AR135">
        <v>90000</v>
      </c>
      <c r="AT135" t="s">
        <v>64</v>
      </c>
      <c r="AU135" t="str">
        <f t="shared" si="2"/>
        <v>Omset Interface</v>
      </c>
    </row>
    <row r="136" spans="2:47" ht="23.1" customHeight="1">
      <c r="B136" s="9">
        <v>46240</v>
      </c>
      <c r="D136" t="s">
        <v>430</v>
      </c>
      <c r="F136" t="s">
        <v>431</v>
      </c>
      <c r="H136" s="9">
        <v>46240</v>
      </c>
      <c r="J136" t="s">
        <v>27</v>
      </c>
      <c r="L136" t="s">
        <v>432</v>
      </c>
      <c r="N136" t="s">
        <v>433</v>
      </c>
      <c r="P136" t="s">
        <v>64</v>
      </c>
      <c r="R136" t="s">
        <v>31</v>
      </c>
      <c r="T136" t="s">
        <v>41</v>
      </c>
      <c r="V136" t="s">
        <v>33</v>
      </c>
      <c r="X136" t="s">
        <v>33</v>
      </c>
      <c r="Z136" t="s">
        <v>64</v>
      </c>
      <c r="AB136" t="s">
        <v>268</v>
      </c>
      <c r="AD136" t="s">
        <v>128</v>
      </c>
      <c r="AF136" t="s">
        <v>434</v>
      </c>
      <c r="AH136" t="s">
        <v>42</v>
      </c>
      <c r="AJ136" t="s">
        <v>43</v>
      </c>
      <c r="AL136">
        <v>17450</v>
      </c>
      <c r="AN136">
        <v>1</v>
      </c>
      <c r="AP136">
        <v>20000</v>
      </c>
      <c r="AR136">
        <v>20000</v>
      </c>
      <c r="AT136" t="s">
        <v>64</v>
      </c>
      <c r="AU136" t="str">
        <f t="shared" si="2"/>
        <v>Omset lainnya</v>
      </c>
    </row>
    <row r="137" spans="2:47" ht="23.1" customHeight="1">
      <c r="B137" s="9">
        <v>46240</v>
      </c>
      <c r="D137" t="s">
        <v>435</v>
      </c>
      <c r="F137" t="s">
        <v>436</v>
      </c>
      <c r="H137" s="9">
        <v>46240</v>
      </c>
      <c r="J137" t="s">
        <v>27</v>
      </c>
      <c r="L137" t="s">
        <v>437</v>
      </c>
      <c r="N137" t="s">
        <v>438</v>
      </c>
      <c r="P137" t="s">
        <v>64</v>
      </c>
      <c r="R137" t="s">
        <v>177</v>
      </c>
      <c r="T137" t="s">
        <v>41</v>
      </c>
      <c r="Z137" t="s">
        <v>64</v>
      </c>
      <c r="AB137" t="s">
        <v>178</v>
      </c>
      <c r="AD137" t="s">
        <v>87</v>
      </c>
      <c r="AF137" t="s">
        <v>439</v>
      </c>
      <c r="AH137" t="s">
        <v>308</v>
      </c>
      <c r="AJ137" t="s">
        <v>309</v>
      </c>
      <c r="AL137">
        <v>92000</v>
      </c>
      <c r="AN137">
        <v>1</v>
      </c>
      <c r="AP137">
        <v>180000</v>
      </c>
      <c r="AR137">
        <v>180000</v>
      </c>
      <c r="AT137" t="s">
        <v>77</v>
      </c>
      <c r="AU137" t="str">
        <f t="shared" si="2"/>
        <v>Omset lainnya</v>
      </c>
    </row>
    <row r="138" spans="2:47" ht="23.1" customHeight="1">
      <c r="B138" s="9">
        <v>46240</v>
      </c>
      <c r="D138" t="s">
        <v>440</v>
      </c>
      <c r="F138" t="s">
        <v>441</v>
      </c>
      <c r="H138" s="9">
        <v>46240</v>
      </c>
      <c r="J138" t="s">
        <v>27</v>
      </c>
      <c r="L138" t="s">
        <v>442</v>
      </c>
      <c r="N138" t="s">
        <v>443</v>
      </c>
      <c r="P138" t="s">
        <v>64</v>
      </c>
      <c r="R138" t="s">
        <v>31</v>
      </c>
      <c r="T138" t="s">
        <v>32</v>
      </c>
      <c r="V138" t="s">
        <v>127</v>
      </c>
      <c r="X138" t="s">
        <v>127</v>
      </c>
      <c r="Z138" t="s">
        <v>64</v>
      </c>
      <c r="AB138" t="s">
        <v>35</v>
      </c>
      <c r="AD138" t="s">
        <v>65</v>
      </c>
      <c r="AF138" t="s">
        <v>444</v>
      </c>
      <c r="AH138" t="s">
        <v>38</v>
      </c>
      <c r="AJ138" t="s">
        <v>39</v>
      </c>
      <c r="AL138">
        <v>0</v>
      </c>
      <c r="AN138">
        <v>1</v>
      </c>
      <c r="AP138">
        <v>90000</v>
      </c>
      <c r="AR138">
        <v>90000</v>
      </c>
      <c r="AT138" t="s">
        <v>64</v>
      </c>
      <c r="AU138" t="str">
        <f t="shared" si="2"/>
        <v>Omset Interface</v>
      </c>
    </row>
    <row r="139" spans="2:47" ht="23.1" customHeight="1">
      <c r="B139" s="9">
        <v>46240</v>
      </c>
      <c r="D139" t="s">
        <v>440</v>
      </c>
      <c r="F139" t="s">
        <v>441</v>
      </c>
      <c r="H139" s="9">
        <v>46240</v>
      </c>
      <c r="J139" t="s">
        <v>27</v>
      </c>
      <c r="L139" t="s">
        <v>442</v>
      </c>
      <c r="N139" t="s">
        <v>443</v>
      </c>
      <c r="P139" t="s">
        <v>64</v>
      </c>
      <c r="R139" t="s">
        <v>31</v>
      </c>
      <c r="T139" t="s">
        <v>41</v>
      </c>
      <c r="V139" t="s">
        <v>127</v>
      </c>
      <c r="X139" t="s">
        <v>127</v>
      </c>
      <c r="Z139" t="s">
        <v>64</v>
      </c>
      <c r="AB139" t="s">
        <v>35</v>
      </c>
      <c r="AD139" t="s">
        <v>65</v>
      </c>
      <c r="AF139" t="s">
        <v>444</v>
      </c>
      <c r="AH139" t="s">
        <v>180</v>
      </c>
      <c r="AJ139" t="s">
        <v>181</v>
      </c>
      <c r="AL139">
        <v>20000</v>
      </c>
      <c r="AN139">
        <v>1</v>
      </c>
      <c r="AP139">
        <v>30000</v>
      </c>
      <c r="AR139">
        <v>30000</v>
      </c>
      <c r="AT139" t="s">
        <v>64</v>
      </c>
      <c r="AU139" t="str">
        <f t="shared" si="2"/>
        <v>Omset lainnya</v>
      </c>
    </row>
    <row r="140" spans="2:47" ht="23.1" customHeight="1">
      <c r="B140" s="9">
        <v>46242</v>
      </c>
      <c r="D140" t="s">
        <v>445</v>
      </c>
      <c r="F140" t="s">
        <v>446</v>
      </c>
      <c r="H140" s="9">
        <v>46240</v>
      </c>
      <c r="J140" t="s">
        <v>27</v>
      </c>
      <c r="L140" t="s">
        <v>447</v>
      </c>
      <c r="N140" t="s">
        <v>448</v>
      </c>
      <c r="P140" t="s">
        <v>77</v>
      </c>
      <c r="R140" t="s">
        <v>31</v>
      </c>
      <c r="T140" t="s">
        <v>94</v>
      </c>
      <c r="V140" t="s">
        <v>49</v>
      </c>
      <c r="X140" t="s">
        <v>49</v>
      </c>
      <c r="Z140" t="s">
        <v>57</v>
      </c>
      <c r="AB140" t="s">
        <v>35</v>
      </c>
      <c r="AD140" t="s">
        <v>58</v>
      </c>
      <c r="AF140" t="s">
        <v>449</v>
      </c>
      <c r="AH140" t="s">
        <v>450</v>
      </c>
      <c r="AJ140" t="s">
        <v>451</v>
      </c>
      <c r="AL140">
        <v>122500</v>
      </c>
      <c r="AN140">
        <v>1</v>
      </c>
      <c r="AP140">
        <v>145000</v>
      </c>
      <c r="AR140">
        <v>145000</v>
      </c>
      <c r="AU140" t="str">
        <f t="shared" si="2"/>
        <v>Omset lainnya</v>
      </c>
    </row>
    <row r="141" spans="2:47" ht="23.1" customHeight="1">
      <c r="B141" s="9">
        <v>46240</v>
      </c>
      <c r="D141" t="s">
        <v>440</v>
      </c>
      <c r="F141" t="s">
        <v>441</v>
      </c>
      <c r="H141" s="9">
        <v>46240</v>
      </c>
      <c r="J141" t="s">
        <v>27</v>
      </c>
      <c r="L141" t="s">
        <v>442</v>
      </c>
      <c r="N141" t="s">
        <v>443</v>
      </c>
      <c r="P141" t="s">
        <v>64</v>
      </c>
      <c r="R141" t="s">
        <v>31</v>
      </c>
      <c r="T141" t="s">
        <v>94</v>
      </c>
      <c r="V141" t="s">
        <v>127</v>
      </c>
      <c r="X141" t="s">
        <v>127</v>
      </c>
      <c r="Z141" t="s">
        <v>64</v>
      </c>
      <c r="AB141" t="s">
        <v>35</v>
      </c>
      <c r="AD141" t="s">
        <v>65</v>
      </c>
      <c r="AF141" t="s">
        <v>444</v>
      </c>
      <c r="AH141" t="s">
        <v>452</v>
      </c>
      <c r="AJ141" t="s">
        <v>453</v>
      </c>
      <c r="AL141">
        <v>162500</v>
      </c>
      <c r="AN141">
        <v>1</v>
      </c>
      <c r="AP141">
        <v>180000</v>
      </c>
      <c r="AR141">
        <v>180000</v>
      </c>
      <c r="AT141" t="s">
        <v>64</v>
      </c>
      <c r="AU141" t="str">
        <f t="shared" si="2"/>
        <v>Omset lainnya</v>
      </c>
    </row>
    <row r="142" spans="2:47" ht="23.1" customHeight="1">
      <c r="B142" s="9">
        <v>46238</v>
      </c>
      <c r="D142" t="s">
        <v>259</v>
      </c>
      <c r="F142" t="s">
        <v>260</v>
      </c>
      <c r="H142" s="9">
        <v>46238</v>
      </c>
      <c r="J142" t="s">
        <v>27</v>
      </c>
      <c r="L142" t="s">
        <v>261</v>
      </c>
      <c r="N142" t="s">
        <v>92</v>
      </c>
      <c r="P142" t="s">
        <v>57</v>
      </c>
      <c r="R142" t="s">
        <v>31</v>
      </c>
      <c r="T142" t="s">
        <v>94</v>
      </c>
      <c r="V142" t="s">
        <v>86</v>
      </c>
      <c r="X142" t="s">
        <v>86</v>
      </c>
      <c r="Z142" t="s">
        <v>57</v>
      </c>
      <c r="AB142" t="s">
        <v>35</v>
      </c>
      <c r="AD142" t="s">
        <v>50</v>
      </c>
      <c r="AF142" t="s">
        <v>262</v>
      </c>
      <c r="AH142" t="s">
        <v>454</v>
      </c>
      <c r="AJ142" t="s">
        <v>455</v>
      </c>
      <c r="AL142">
        <v>122500</v>
      </c>
      <c r="AN142">
        <v>1</v>
      </c>
      <c r="AP142">
        <v>140000</v>
      </c>
      <c r="AR142">
        <v>140000</v>
      </c>
      <c r="AU142" t="str">
        <f t="shared" si="2"/>
        <v>Omset lainnya</v>
      </c>
    </row>
    <row r="143" spans="2:47" ht="23.1" customHeight="1">
      <c r="B143" s="9">
        <v>46242</v>
      </c>
      <c r="D143" t="s">
        <v>456</v>
      </c>
      <c r="F143" t="s">
        <v>457</v>
      </c>
      <c r="H143" s="9">
        <v>46237</v>
      </c>
      <c r="J143" t="s">
        <v>27</v>
      </c>
      <c r="L143" t="s">
        <v>458</v>
      </c>
      <c r="N143" t="s">
        <v>459</v>
      </c>
      <c r="P143" t="s">
        <v>57</v>
      </c>
      <c r="R143" t="s">
        <v>31</v>
      </c>
      <c r="T143" t="s">
        <v>94</v>
      </c>
      <c r="V143" t="s">
        <v>33</v>
      </c>
      <c r="X143" t="s">
        <v>33</v>
      </c>
      <c r="Z143" t="s">
        <v>57</v>
      </c>
      <c r="AB143" t="s">
        <v>95</v>
      </c>
      <c r="AD143" t="s">
        <v>87</v>
      </c>
      <c r="AF143" t="s">
        <v>460</v>
      </c>
      <c r="AH143" t="s">
        <v>461</v>
      </c>
      <c r="AJ143" t="s">
        <v>462</v>
      </c>
      <c r="AL143">
        <v>242500</v>
      </c>
      <c r="AN143">
        <v>1</v>
      </c>
      <c r="AP143">
        <v>250000</v>
      </c>
      <c r="AR143">
        <v>250000</v>
      </c>
      <c r="AU143" t="str">
        <f t="shared" si="2"/>
        <v>Omset lainnya</v>
      </c>
    </row>
    <row r="144" spans="2:47" ht="23.1" customHeight="1">
      <c r="B144" s="9">
        <v>46241</v>
      </c>
      <c r="D144" t="s">
        <v>463</v>
      </c>
      <c r="F144" t="s">
        <v>464</v>
      </c>
      <c r="H144" s="9">
        <v>46241</v>
      </c>
      <c r="J144" t="s">
        <v>27</v>
      </c>
      <c r="L144" t="s">
        <v>465</v>
      </c>
      <c r="N144" t="s">
        <v>466</v>
      </c>
      <c r="P144" t="s">
        <v>64</v>
      </c>
      <c r="R144" t="s">
        <v>31</v>
      </c>
      <c r="T144" t="s">
        <v>32</v>
      </c>
      <c r="V144" t="s">
        <v>33</v>
      </c>
      <c r="X144" t="s">
        <v>33</v>
      </c>
      <c r="Z144" t="s">
        <v>64</v>
      </c>
      <c r="AB144" t="s">
        <v>35</v>
      </c>
      <c r="AD144" t="s">
        <v>65</v>
      </c>
      <c r="AF144" t="s">
        <v>467</v>
      </c>
      <c r="AH144" t="s">
        <v>38</v>
      </c>
      <c r="AJ144" t="s">
        <v>39</v>
      </c>
      <c r="AL144">
        <v>0</v>
      </c>
      <c r="AN144">
        <v>1</v>
      </c>
      <c r="AP144">
        <v>480000</v>
      </c>
      <c r="AR144">
        <v>480000</v>
      </c>
      <c r="AT144" t="s">
        <v>64</v>
      </c>
      <c r="AU144" t="str">
        <f t="shared" si="2"/>
        <v>Omset Interface</v>
      </c>
    </row>
    <row r="145" spans="2:47" ht="23.1" customHeight="1">
      <c r="B145" s="9">
        <v>46241</v>
      </c>
      <c r="D145" t="s">
        <v>463</v>
      </c>
      <c r="F145" t="s">
        <v>464</v>
      </c>
      <c r="H145" s="9">
        <v>46241</v>
      </c>
      <c r="J145" t="s">
        <v>27</v>
      </c>
      <c r="L145" t="s">
        <v>465</v>
      </c>
      <c r="N145" t="s">
        <v>466</v>
      </c>
      <c r="P145" t="s">
        <v>64</v>
      </c>
      <c r="R145" t="s">
        <v>31</v>
      </c>
      <c r="T145" t="s">
        <v>41</v>
      </c>
      <c r="V145" t="s">
        <v>33</v>
      </c>
      <c r="X145" t="s">
        <v>33</v>
      </c>
      <c r="Z145" t="s">
        <v>64</v>
      </c>
      <c r="AB145" t="s">
        <v>35</v>
      </c>
      <c r="AD145" t="s">
        <v>65</v>
      </c>
      <c r="AF145" t="s">
        <v>467</v>
      </c>
      <c r="AH145" t="s">
        <v>42</v>
      </c>
      <c r="AJ145" t="s">
        <v>43</v>
      </c>
      <c r="AL145">
        <v>17450</v>
      </c>
      <c r="AN145">
        <v>1</v>
      </c>
      <c r="AP145">
        <v>20000</v>
      </c>
      <c r="AR145">
        <v>20000</v>
      </c>
      <c r="AT145" t="s">
        <v>64</v>
      </c>
      <c r="AU145" t="str">
        <f t="shared" si="2"/>
        <v>Omset lainnya</v>
      </c>
    </row>
    <row r="146" spans="2:47" ht="23.1" customHeight="1">
      <c r="B146" s="9">
        <v>46241</v>
      </c>
      <c r="D146" t="s">
        <v>468</v>
      </c>
      <c r="F146" t="s">
        <v>469</v>
      </c>
      <c r="H146" s="9">
        <v>46241</v>
      </c>
      <c r="J146" t="s">
        <v>27</v>
      </c>
      <c r="L146" t="s">
        <v>470</v>
      </c>
      <c r="N146" t="s">
        <v>471</v>
      </c>
      <c r="P146" t="s">
        <v>64</v>
      </c>
      <c r="R146" t="s">
        <v>31</v>
      </c>
      <c r="T146" t="s">
        <v>32</v>
      </c>
      <c r="V146" t="s">
        <v>71</v>
      </c>
      <c r="X146" t="s">
        <v>71</v>
      </c>
      <c r="Z146" t="s">
        <v>64</v>
      </c>
      <c r="AB146" t="s">
        <v>268</v>
      </c>
      <c r="AD146" t="s">
        <v>58</v>
      </c>
      <c r="AF146" t="s">
        <v>472</v>
      </c>
      <c r="AH146" t="s">
        <v>270</v>
      </c>
      <c r="AJ146" t="s">
        <v>271</v>
      </c>
      <c r="AL146">
        <v>0</v>
      </c>
      <c r="AN146">
        <v>1</v>
      </c>
      <c r="AP146">
        <v>123000</v>
      </c>
      <c r="AR146">
        <v>123000</v>
      </c>
      <c r="AT146" t="s">
        <v>64</v>
      </c>
      <c r="AU146" t="str">
        <f t="shared" si="2"/>
        <v>Omset Interface</v>
      </c>
    </row>
    <row r="147" spans="2:47" ht="23.1" customHeight="1">
      <c r="B147" s="9">
        <v>46241</v>
      </c>
      <c r="D147" t="s">
        <v>468</v>
      </c>
      <c r="F147" t="s">
        <v>469</v>
      </c>
      <c r="H147" s="9">
        <v>46241</v>
      </c>
      <c r="J147" t="s">
        <v>27</v>
      </c>
      <c r="L147" t="s">
        <v>470</v>
      </c>
      <c r="N147" t="s">
        <v>471</v>
      </c>
      <c r="P147" t="s">
        <v>64</v>
      </c>
      <c r="R147" t="s">
        <v>31</v>
      </c>
      <c r="T147" t="s">
        <v>41</v>
      </c>
      <c r="V147" t="s">
        <v>71</v>
      </c>
      <c r="X147" t="s">
        <v>71</v>
      </c>
      <c r="Z147" t="s">
        <v>64</v>
      </c>
      <c r="AB147" t="s">
        <v>268</v>
      </c>
      <c r="AD147" t="s">
        <v>58</v>
      </c>
      <c r="AF147" t="s">
        <v>472</v>
      </c>
      <c r="AH147" t="s">
        <v>42</v>
      </c>
      <c r="AJ147" t="s">
        <v>43</v>
      </c>
      <c r="AL147">
        <v>17450</v>
      </c>
      <c r="AN147">
        <v>1</v>
      </c>
      <c r="AP147">
        <v>20000</v>
      </c>
      <c r="AR147">
        <v>20000</v>
      </c>
      <c r="AT147" t="s">
        <v>64</v>
      </c>
      <c r="AU147" t="str">
        <f t="shared" si="2"/>
        <v>Omset lainnya</v>
      </c>
    </row>
    <row r="148" spans="2:47" ht="23.1" customHeight="1">
      <c r="B148" s="9">
        <v>46241</v>
      </c>
      <c r="D148" t="s">
        <v>473</v>
      </c>
      <c r="F148" t="s">
        <v>474</v>
      </c>
      <c r="H148" s="9">
        <v>46241</v>
      </c>
      <c r="J148" t="s">
        <v>27</v>
      </c>
      <c r="L148" t="s">
        <v>475</v>
      </c>
      <c r="N148" t="s">
        <v>476</v>
      </c>
      <c r="P148" t="s">
        <v>64</v>
      </c>
      <c r="R148" t="s">
        <v>31</v>
      </c>
      <c r="T148" t="s">
        <v>32</v>
      </c>
      <c r="V148" t="s">
        <v>49</v>
      </c>
      <c r="X148" t="s">
        <v>49</v>
      </c>
      <c r="Z148" t="s">
        <v>64</v>
      </c>
      <c r="AB148" t="s">
        <v>111</v>
      </c>
      <c r="AD148" t="s">
        <v>50</v>
      </c>
      <c r="AF148" t="s">
        <v>477</v>
      </c>
      <c r="AH148" t="s">
        <v>236</v>
      </c>
      <c r="AJ148" t="s">
        <v>237</v>
      </c>
      <c r="AL148">
        <v>0</v>
      </c>
      <c r="AN148">
        <v>1</v>
      </c>
      <c r="AP148">
        <v>80000</v>
      </c>
      <c r="AR148">
        <v>80000</v>
      </c>
      <c r="AT148" t="s">
        <v>64</v>
      </c>
      <c r="AU148" t="str">
        <f t="shared" si="2"/>
        <v>Omset Normal</v>
      </c>
    </row>
    <row r="149" spans="2:47" ht="23.1" customHeight="1">
      <c r="B149" s="9">
        <v>46241</v>
      </c>
      <c r="D149" t="s">
        <v>473</v>
      </c>
      <c r="F149" t="s">
        <v>474</v>
      </c>
      <c r="H149" s="9">
        <v>46241</v>
      </c>
      <c r="J149" t="s">
        <v>27</v>
      </c>
      <c r="L149" t="s">
        <v>475</v>
      </c>
      <c r="N149" t="s">
        <v>476</v>
      </c>
      <c r="P149" t="s">
        <v>64</v>
      </c>
      <c r="R149" t="s">
        <v>31</v>
      </c>
      <c r="T149" t="s">
        <v>41</v>
      </c>
      <c r="V149" t="s">
        <v>49</v>
      </c>
      <c r="X149" t="s">
        <v>49</v>
      </c>
      <c r="Z149" t="s">
        <v>64</v>
      </c>
      <c r="AB149" t="s">
        <v>111</v>
      </c>
      <c r="AD149" t="s">
        <v>50</v>
      </c>
      <c r="AF149" t="s">
        <v>477</v>
      </c>
      <c r="AH149" t="s">
        <v>42</v>
      </c>
      <c r="AJ149" t="s">
        <v>43</v>
      </c>
      <c r="AL149">
        <v>17450</v>
      </c>
      <c r="AN149">
        <v>1</v>
      </c>
      <c r="AP149">
        <v>20000</v>
      </c>
      <c r="AR149">
        <v>20000</v>
      </c>
      <c r="AT149" t="s">
        <v>64</v>
      </c>
      <c r="AU149" t="str">
        <f t="shared" si="2"/>
        <v>Omset lainnya</v>
      </c>
    </row>
    <row r="150" spans="2:47" ht="23.1" customHeight="1">
      <c r="B150" s="9">
        <v>46241</v>
      </c>
      <c r="D150" t="s">
        <v>478</v>
      </c>
      <c r="F150" t="s">
        <v>479</v>
      </c>
      <c r="H150" s="9">
        <v>46240</v>
      </c>
      <c r="J150" t="s">
        <v>27</v>
      </c>
      <c r="L150" t="s">
        <v>480</v>
      </c>
      <c r="N150" t="s">
        <v>481</v>
      </c>
      <c r="P150" t="s">
        <v>64</v>
      </c>
      <c r="R150" t="s">
        <v>31</v>
      </c>
      <c r="T150" t="s">
        <v>94</v>
      </c>
      <c r="V150" t="s">
        <v>71</v>
      </c>
      <c r="X150" t="s">
        <v>71</v>
      </c>
      <c r="Z150" t="s">
        <v>64</v>
      </c>
      <c r="AB150" t="s">
        <v>35</v>
      </c>
      <c r="AD150" t="s">
        <v>65</v>
      </c>
      <c r="AF150" t="s">
        <v>482</v>
      </c>
      <c r="AH150" t="s">
        <v>483</v>
      </c>
      <c r="AJ150" t="s">
        <v>484</v>
      </c>
      <c r="AL150">
        <v>150000</v>
      </c>
      <c r="AN150">
        <v>1</v>
      </c>
      <c r="AP150">
        <v>138000</v>
      </c>
      <c r="AR150">
        <v>138000</v>
      </c>
      <c r="AT150" t="s">
        <v>64</v>
      </c>
      <c r="AU150" t="str">
        <f t="shared" si="2"/>
        <v>Omset lainnya</v>
      </c>
    </row>
    <row r="151" spans="2:47" ht="23.1" customHeight="1">
      <c r="B151" s="9">
        <v>46244</v>
      </c>
      <c r="D151" t="s">
        <v>485</v>
      </c>
      <c r="F151" t="s">
        <v>486</v>
      </c>
      <c r="H151" s="9">
        <v>46242</v>
      </c>
      <c r="J151" t="s">
        <v>54</v>
      </c>
      <c r="L151" t="s">
        <v>487</v>
      </c>
      <c r="N151" t="s">
        <v>488</v>
      </c>
      <c r="P151" t="s">
        <v>57</v>
      </c>
      <c r="R151" t="s">
        <v>31</v>
      </c>
      <c r="T151" t="s">
        <v>32</v>
      </c>
      <c r="V151" t="s">
        <v>86</v>
      </c>
      <c r="X151" t="s">
        <v>86</v>
      </c>
      <c r="Z151" t="s">
        <v>64</v>
      </c>
      <c r="AB151" t="s">
        <v>35</v>
      </c>
      <c r="AD151" t="s">
        <v>65</v>
      </c>
      <c r="AF151" t="s">
        <v>489</v>
      </c>
      <c r="AH151" t="s">
        <v>38</v>
      </c>
      <c r="AJ151" t="s">
        <v>39</v>
      </c>
      <c r="AL151">
        <v>0</v>
      </c>
      <c r="AN151">
        <v>1</v>
      </c>
      <c r="AP151">
        <v>130000</v>
      </c>
      <c r="AR151">
        <v>130000</v>
      </c>
      <c r="AT151" t="s">
        <v>57</v>
      </c>
      <c r="AU151" t="str">
        <f t="shared" si="2"/>
        <v>Omset Interface</v>
      </c>
    </row>
    <row r="152" spans="2:47" ht="23.1" customHeight="1">
      <c r="B152" s="9">
        <v>46242</v>
      </c>
      <c r="D152" t="s">
        <v>317</v>
      </c>
      <c r="F152" t="s">
        <v>318</v>
      </c>
      <c r="H152" s="9">
        <v>46237</v>
      </c>
      <c r="J152" t="s">
        <v>27</v>
      </c>
      <c r="L152" t="s">
        <v>319</v>
      </c>
      <c r="N152" t="s">
        <v>320</v>
      </c>
      <c r="P152" t="s">
        <v>64</v>
      </c>
      <c r="R152" t="s">
        <v>31</v>
      </c>
      <c r="T152" t="s">
        <v>32</v>
      </c>
      <c r="V152" t="s">
        <v>86</v>
      </c>
      <c r="X152" t="s">
        <v>86</v>
      </c>
      <c r="Z152" t="s">
        <v>64</v>
      </c>
      <c r="AB152" t="s">
        <v>35</v>
      </c>
      <c r="AD152" t="s">
        <v>50</v>
      </c>
      <c r="AF152" t="s">
        <v>321</v>
      </c>
      <c r="AH152" t="s">
        <v>38</v>
      </c>
      <c r="AJ152" t="s">
        <v>39</v>
      </c>
      <c r="AL152">
        <v>0</v>
      </c>
      <c r="AN152">
        <v>1</v>
      </c>
      <c r="AP152">
        <v>120000</v>
      </c>
      <c r="AR152">
        <v>120000</v>
      </c>
      <c r="AT152" t="s">
        <v>64</v>
      </c>
      <c r="AU152" t="str">
        <f t="shared" si="2"/>
        <v>Omset Interface</v>
      </c>
    </row>
    <row r="153" spans="2:47" ht="23.1" customHeight="1">
      <c r="B153" s="9">
        <v>46242</v>
      </c>
      <c r="D153" t="s">
        <v>317</v>
      </c>
      <c r="F153" t="s">
        <v>318</v>
      </c>
      <c r="H153" s="9">
        <v>46237</v>
      </c>
      <c r="J153" t="s">
        <v>27</v>
      </c>
      <c r="L153" t="s">
        <v>319</v>
      </c>
      <c r="N153" t="s">
        <v>320</v>
      </c>
      <c r="P153" t="s">
        <v>64</v>
      </c>
      <c r="R153" t="s">
        <v>31</v>
      </c>
      <c r="T153" t="s">
        <v>41</v>
      </c>
      <c r="V153" t="s">
        <v>86</v>
      </c>
      <c r="X153" t="s">
        <v>86</v>
      </c>
      <c r="Z153" t="s">
        <v>64</v>
      </c>
      <c r="AB153" t="s">
        <v>35</v>
      </c>
      <c r="AD153" t="s">
        <v>50</v>
      </c>
      <c r="AF153" t="s">
        <v>321</v>
      </c>
      <c r="AH153" t="s">
        <v>42</v>
      </c>
      <c r="AJ153" t="s">
        <v>43</v>
      </c>
      <c r="AL153">
        <v>17450</v>
      </c>
      <c r="AN153">
        <v>1</v>
      </c>
      <c r="AP153">
        <v>20000</v>
      </c>
      <c r="AR153">
        <v>20000</v>
      </c>
      <c r="AT153" t="s">
        <v>64</v>
      </c>
      <c r="AU153" t="str">
        <f t="shared" si="2"/>
        <v>Omset lainnya</v>
      </c>
    </row>
    <row r="154" spans="2:47" ht="23.1" customHeight="1">
      <c r="B154" s="9">
        <v>46242</v>
      </c>
      <c r="D154" t="s">
        <v>490</v>
      </c>
      <c r="F154" t="s">
        <v>491</v>
      </c>
      <c r="H154" s="9">
        <v>46242</v>
      </c>
      <c r="J154" t="s">
        <v>27</v>
      </c>
      <c r="L154" t="s">
        <v>492</v>
      </c>
      <c r="N154" t="s">
        <v>493</v>
      </c>
      <c r="P154" t="s">
        <v>64</v>
      </c>
      <c r="R154" t="s">
        <v>31</v>
      </c>
      <c r="T154" t="s">
        <v>94</v>
      </c>
      <c r="V154" t="s">
        <v>127</v>
      </c>
      <c r="X154" t="s">
        <v>127</v>
      </c>
      <c r="Z154" t="s">
        <v>64</v>
      </c>
      <c r="AB154" t="s">
        <v>35</v>
      </c>
      <c r="AD154" t="s">
        <v>50</v>
      </c>
      <c r="AF154" t="s">
        <v>494</v>
      </c>
      <c r="AH154" t="s">
        <v>495</v>
      </c>
      <c r="AJ154" t="s">
        <v>496</v>
      </c>
      <c r="AL154">
        <v>123500</v>
      </c>
      <c r="AN154">
        <v>1</v>
      </c>
      <c r="AP154">
        <v>136500</v>
      </c>
      <c r="AR154">
        <v>136500</v>
      </c>
      <c r="AT154" t="s">
        <v>64</v>
      </c>
      <c r="AU154" t="str">
        <f t="shared" si="2"/>
        <v>Omset lainnya</v>
      </c>
    </row>
    <row r="155" spans="2:47" ht="23.1" customHeight="1">
      <c r="B155" s="9">
        <v>46242</v>
      </c>
      <c r="D155" t="s">
        <v>497</v>
      </c>
      <c r="F155" t="s">
        <v>498</v>
      </c>
      <c r="H155" s="9">
        <v>46242</v>
      </c>
      <c r="J155" t="s">
        <v>54</v>
      </c>
      <c r="L155" t="s">
        <v>499</v>
      </c>
      <c r="N155" t="s">
        <v>500</v>
      </c>
      <c r="P155" t="s">
        <v>57</v>
      </c>
      <c r="R155" t="s">
        <v>31</v>
      </c>
      <c r="T155" t="s">
        <v>94</v>
      </c>
      <c r="V155" t="s">
        <v>33</v>
      </c>
      <c r="X155" t="s">
        <v>33</v>
      </c>
      <c r="Z155" t="s">
        <v>57</v>
      </c>
      <c r="AB155" t="s">
        <v>35</v>
      </c>
      <c r="AD155" t="s">
        <v>65</v>
      </c>
      <c r="AF155" t="s">
        <v>501</v>
      </c>
      <c r="AH155" t="s">
        <v>502</v>
      </c>
      <c r="AJ155" t="s">
        <v>503</v>
      </c>
      <c r="AL155">
        <v>122500</v>
      </c>
      <c r="AN155">
        <v>1</v>
      </c>
      <c r="AP155">
        <v>135500</v>
      </c>
      <c r="AR155">
        <v>135500</v>
      </c>
      <c r="AT155" t="s">
        <v>57</v>
      </c>
      <c r="AU155" t="str">
        <f t="shared" si="2"/>
        <v>Omset lainnya</v>
      </c>
    </row>
    <row r="156" spans="2:47" ht="23.1" customHeight="1">
      <c r="B156" s="9">
        <v>46243</v>
      </c>
      <c r="D156" t="s">
        <v>504</v>
      </c>
      <c r="F156" t="s">
        <v>505</v>
      </c>
      <c r="H156" s="9">
        <v>46242</v>
      </c>
      <c r="J156" t="s">
        <v>54</v>
      </c>
      <c r="L156" t="s">
        <v>506</v>
      </c>
      <c r="N156" t="s">
        <v>507</v>
      </c>
      <c r="P156" t="s">
        <v>77</v>
      </c>
      <c r="R156" t="s">
        <v>31</v>
      </c>
      <c r="T156" t="s">
        <v>32</v>
      </c>
      <c r="V156" t="s">
        <v>127</v>
      </c>
      <c r="X156" t="s">
        <v>127</v>
      </c>
      <c r="Z156" t="s">
        <v>64</v>
      </c>
      <c r="AB156" t="s">
        <v>268</v>
      </c>
      <c r="AD156" t="s">
        <v>36</v>
      </c>
      <c r="AF156" t="s">
        <v>508</v>
      </c>
      <c r="AH156" t="s">
        <v>270</v>
      </c>
      <c r="AJ156" t="s">
        <v>271</v>
      </c>
      <c r="AL156">
        <v>0</v>
      </c>
      <c r="AN156">
        <v>1</v>
      </c>
      <c r="AP156">
        <v>170000</v>
      </c>
      <c r="AR156">
        <v>170000</v>
      </c>
      <c r="AU156" t="str">
        <f t="shared" si="2"/>
        <v>Omset Interface</v>
      </c>
    </row>
    <row r="157" spans="2:47" ht="23.1" customHeight="1">
      <c r="B157" s="9">
        <v>46243</v>
      </c>
      <c r="D157" t="s">
        <v>504</v>
      </c>
      <c r="F157" t="s">
        <v>505</v>
      </c>
      <c r="H157" s="9">
        <v>46242</v>
      </c>
      <c r="J157" t="s">
        <v>54</v>
      </c>
      <c r="L157" t="s">
        <v>506</v>
      </c>
      <c r="N157" t="s">
        <v>507</v>
      </c>
      <c r="P157" t="s">
        <v>77</v>
      </c>
      <c r="R157" t="s">
        <v>31</v>
      </c>
      <c r="T157" t="s">
        <v>41</v>
      </c>
      <c r="V157" t="s">
        <v>127</v>
      </c>
      <c r="X157" t="s">
        <v>127</v>
      </c>
      <c r="Z157" t="s">
        <v>64</v>
      </c>
      <c r="AB157" t="s">
        <v>268</v>
      </c>
      <c r="AD157" t="s">
        <v>36</v>
      </c>
      <c r="AF157" t="s">
        <v>508</v>
      </c>
      <c r="AH157" t="s">
        <v>42</v>
      </c>
      <c r="AJ157" t="s">
        <v>43</v>
      </c>
      <c r="AL157">
        <v>17450</v>
      </c>
      <c r="AN157">
        <v>1</v>
      </c>
      <c r="AP157">
        <v>20000</v>
      </c>
      <c r="AR157">
        <v>20000</v>
      </c>
      <c r="AU157" t="str">
        <f t="shared" si="2"/>
        <v>Omset lainnya</v>
      </c>
    </row>
    <row r="158" spans="2:47" ht="23.1" customHeight="1">
      <c r="B158" s="9">
        <v>46239</v>
      </c>
      <c r="D158" t="s">
        <v>382</v>
      </c>
      <c r="F158" t="s">
        <v>383</v>
      </c>
      <c r="H158" s="9">
        <v>46238</v>
      </c>
      <c r="J158" t="s">
        <v>27</v>
      </c>
      <c r="L158" t="s">
        <v>384</v>
      </c>
      <c r="N158" t="s">
        <v>385</v>
      </c>
      <c r="P158" t="s">
        <v>64</v>
      </c>
      <c r="R158" t="s">
        <v>173</v>
      </c>
      <c r="T158" t="s">
        <v>41</v>
      </c>
      <c r="V158" t="s">
        <v>33</v>
      </c>
      <c r="X158" t="s">
        <v>33</v>
      </c>
      <c r="Z158" t="s">
        <v>64</v>
      </c>
      <c r="AB158" t="s">
        <v>386</v>
      </c>
      <c r="AD158" t="s">
        <v>165</v>
      </c>
      <c r="AF158" t="s">
        <v>387</v>
      </c>
      <c r="AH158" t="s">
        <v>42</v>
      </c>
      <c r="AJ158" t="s">
        <v>43</v>
      </c>
      <c r="AL158">
        <v>17450</v>
      </c>
      <c r="AN158">
        <v>1</v>
      </c>
      <c r="AP158">
        <v>20000</v>
      </c>
      <c r="AR158">
        <v>20000</v>
      </c>
      <c r="AT158" t="s">
        <v>64</v>
      </c>
      <c r="AU158" t="str">
        <f t="shared" si="2"/>
        <v>Omset lainnya</v>
      </c>
    </row>
    <row r="159" spans="2:47" ht="23.1" customHeight="1">
      <c r="B159" s="9">
        <v>46239</v>
      </c>
      <c r="D159" t="s">
        <v>509</v>
      </c>
      <c r="F159" t="s">
        <v>510</v>
      </c>
      <c r="H159" s="9">
        <v>46239</v>
      </c>
      <c r="J159" t="s">
        <v>54</v>
      </c>
      <c r="L159" t="s">
        <v>511</v>
      </c>
      <c r="N159" t="s">
        <v>512</v>
      </c>
      <c r="P159" t="s">
        <v>77</v>
      </c>
      <c r="R159" t="s">
        <v>173</v>
      </c>
      <c r="T159" t="s">
        <v>32</v>
      </c>
      <c r="V159" t="s">
        <v>86</v>
      </c>
      <c r="X159" t="s">
        <v>86</v>
      </c>
      <c r="Z159" t="s">
        <v>77</v>
      </c>
      <c r="AB159" t="s">
        <v>365</v>
      </c>
      <c r="AD159" t="s">
        <v>78</v>
      </c>
      <c r="AF159" t="s">
        <v>513</v>
      </c>
      <c r="AH159" t="s">
        <v>375</v>
      </c>
      <c r="AJ159" t="s">
        <v>376</v>
      </c>
      <c r="AL159">
        <v>0</v>
      </c>
      <c r="AN159">
        <v>1</v>
      </c>
      <c r="AP159">
        <v>400000</v>
      </c>
      <c r="AR159">
        <v>400000</v>
      </c>
      <c r="AT159" t="s">
        <v>64</v>
      </c>
      <c r="AU159" t="str">
        <f t="shared" si="2"/>
        <v>Omset Normal</v>
      </c>
    </row>
    <row r="160" spans="2:47" ht="23.1" customHeight="1">
      <c r="B160" s="9">
        <v>46239</v>
      </c>
      <c r="D160" t="s">
        <v>509</v>
      </c>
      <c r="F160" t="s">
        <v>510</v>
      </c>
      <c r="H160" s="9">
        <v>46239</v>
      </c>
      <c r="J160" t="s">
        <v>54</v>
      </c>
      <c r="L160" t="s">
        <v>511</v>
      </c>
      <c r="N160" t="s">
        <v>512</v>
      </c>
      <c r="P160" t="s">
        <v>77</v>
      </c>
      <c r="R160" t="s">
        <v>173</v>
      </c>
      <c r="T160" t="s">
        <v>32</v>
      </c>
      <c r="V160" t="s">
        <v>86</v>
      </c>
      <c r="X160" t="s">
        <v>86</v>
      </c>
      <c r="Z160" t="s">
        <v>77</v>
      </c>
      <c r="AB160" t="s">
        <v>365</v>
      </c>
      <c r="AD160" t="s">
        <v>78</v>
      </c>
      <c r="AF160" t="s">
        <v>513</v>
      </c>
      <c r="AH160" t="s">
        <v>514</v>
      </c>
      <c r="AJ160" t="s">
        <v>515</v>
      </c>
      <c r="AL160">
        <v>0</v>
      </c>
      <c r="AN160">
        <v>1</v>
      </c>
      <c r="AP160">
        <v>330000</v>
      </c>
      <c r="AR160">
        <v>330000</v>
      </c>
      <c r="AT160" t="s">
        <v>64</v>
      </c>
      <c r="AU160" t="str">
        <f t="shared" si="2"/>
        <v>Omset Normal</v>
      </c>
    </row>
    <row r="161" spans="2:47" ht="23.1" customHeight="1">
      <c r="B161" s="9">
        <v>46239</v>
      </c>
      <c r="D161" t="s">
        <v>509</v>
      </c>
      <c r="F161" t="s">
        <v>510</v>
      </c>
      <c r="H161" s="9">
        <v>46239</v>
      </c>
      <c r="J161" t="s">
        <v>54</v>
      </c>
      <c r="L161" t="s">
        <v>511</v>
      </c>
      <c r="N161" t="s">
        <v>512</v>
      </c>
      <c r="P161" t="s">
        <v>77</v>
      </c>
      <c r="R161" t="s">
        <v>173</v>
      </c>
      <c r="T161" t="s">
        <v>41</v>
      </c>
      <c r="V161" t="s">
        <v>86</v>
      </c>
      <c r="X161" t="s">
        <v>86</v>
      </c>
      <c r="Z161" t="s">
        <v>77</v>
      </c>
      <c r="AB161" t="s">
        <v>365</v>
      </c>
      <c r="AD161" t="s">
        <v>78</v>
      </c>
      <c r="AF161" t="s">
        <v>513</v>
      </c>
      <c r="AH161" t="s">
        <v>42</v>
      </c>
      <c r="AJ161" t="s">
        <v>43</v>
      </c>
      <c r="AL161">
        <v>17450</v>
      </c>
      <c r="AN161">
        <v>1</v>
      </c>
      <c r="AP161">
        <v>20000</v>
      </c>
      <c r="AR161">
        <v>20000</v>
      </c>
      <c r="AT161" t="s">
        <v>64</v>
      </c>
      <c r="AU161" t="str">
        <f t="shared" si="2"/>
        <v>Omset lainnya</v>
      </c>
    </row>
    <row r="162" spans="2:47" ht="23.1" customHeight="1">
      <c r="B162" s="9">
        <v>46240</v>
      </c>
      <c r="D162" t="s">
        <v>89</v>
      </c>
      <c r="F162" t="s">
        <v>90</v>
      </c>
      <c r="H162" s="9">
        <v>46234</v>
      </c>
      <c r="J162" t="s">
        <v>54</v>
      </c>
      <c r="L162" t="s">
        <v>91</v>
      </c>
      <c r="N162" t="s">
        <v>92</v>
      </c>
      <c r="P162" t="s">
        <v>93</v>
      </c>
      <c r="R162" t="s">
        <v>31</v>
      </c>
      <c r="T162" t="s">
        <v>41</v>
      </c>
      <c r="V162" t="s">
        <v>71</v>
      </c>
      <c r="X162" t="s">
        <v>71</v>
      </c>
      <c r="Z162" t="s">
        <v>57</v>
      </c>
      <c r="AB162" t="s">
        <v>95</v>
      </c>
      <c r="AD162" t="s">
        <v>96</v>
      </c>
      <c r="AF162" t="s">
        <v>97</v>
      </c>
      <c r="AH162" t="s">
        <v>42</v>
      </c>
      <c r="AJ162" t="s">
        <v>43</v>
      </c>
      <c r="AL162">
        <v>17450</v>
      </c>
      <c r="AN162">
        <v>1</v>
      </c>
      <c r="AP162">
        <v>20000</v>
      </c>
      <c r="AR162">
        <v>20000</v>
      </c>
      <c r="AU162" t="str">
        <f t="shared" si="2"/>
        <v>Omset lainnya</v>
      </c>
    </row>
    <row r="163" spans="2:47" ht="23.1" customHeight="1">
      <c r="B163" s="9">
        <v>46240</v>
      </c>
      <c r="D163" t="s">
        <v>421</v>
      </c>
      <c r="F163" t="s">
        <v>422</v>
      </c>
      <c r="H163" s="9">
        <v>46237</v>
      </c>
      <c r="J163" t="s">
        <v>54</v>
      </c>
      <c r="L163" t="s">
        <v>233</v>
      </c>
      <c r="N163" t="s">
        <v>234</v>
      </c>
      <c r="P163" t="s">
        <v>57</v>
      </c>
      <c r="R163" t="s">
        <v>31</v>
      </c>
      <c r="T163" t="s">
        <v>32</v>
      </c>
      <c r="V163" t="s">
        <v>49</v>
      </c>
      <c r="X163" t="s">
        <v>49</v>
      </c>
      <c r="Z163" t="s">
        <v>64</v>
      </c>
      <c r="AB163" t="s">
        <v>95</v>
      </c>
      <c r="AD163" t="s">
        <v>65</v>
      </c>
      <c r="AF163" t="s">
        <v>423</v>
      </c>
      <c r="AH163" t="s">
        <v>270</v>
      </c>
      <c r="AJ163" t="s">
        <v>271</v>
      </c>
      <c r="AL163">
        <v>0</v>
      </c>
      <c r="AN163">
        <v>1</v>
      </c>
      <c r="AP163">
        <v>130000</v>
      </c>
      <c r="AR163">
        <v>130000</v>
      </c>
      <c r="AU163" t="str">
        <f t="shared" si="2"/>
        <v>Omset Interface</v>
      </c>
    </row>
    <row r="164" spans="2:47" ht="23.1" customHeight="1">
      <c r="B164" s="9">
        <v>46240</v>
      </c>
      <c r="D164" t="s">
        <v>421</v>
      </c>
      <c r="F164" t="s">
        <v>422</v>
      </c>
      <c r="H164" s="9">
        <v>46237</v>
      </c>
      <c r="J164" t="s">
        <v>54</v>
      </c>
      <c r="L164" t="s">
        <v>233</v>
      </c>
      <c r="N164" t="s">
        <v>234</v>
      </c>
      <c r="P164" t="s">
        <v>57</v>
      </c>
      <c r="R164" t="s">
        <v>31</v>
      </c>
      <c r="T164" t="s">
        <v>41</v>
      </c>
      <c r="V164" t="s">
        <v>49</v>
      </c>
      <c r="X164" t="s">
        <v>49</v>
      </c>
      <c r="Z164" t="s">
        <v>64</v>
      </c>
      <c r="AB164" t="s">
        <v>95</v>
      </c>
      <c r="AD164" t="s">
        <v>65</v>
      </c>
      <c r="AF164" t="s">
        <v>423</v>
      </c>
      <c r="AH164" t="s">
        <v>42</v>
      </c>
      <c r="AJ164" t="s">
        <v>43</v>
      </c>
      <c r="AL164">
        <v>17450</v>
      </c>
      <c r="AN164">
        <v>1</v>
      </c>
      <c r="AP164">
        <v>20000</v>
      </c>
      <c r="AR164">
        <v>20000</v>
      </c>
      <c r="AU164" t="str">
        <f t="shared" si="2"/>
        <v>Omset lainnya</v>
      </c>
    </row>
    <row r="165" spans="2:47" ht="23.1" customHeight="1">
      <c r="B165" s="9">
        <v>46240</v>
      </c>
      <c r="D165" t="s">
        <v>516</v>
      </c>
      <c r="F165" t="s">
        <v>517</v>
      </c>
      <c r="H165" s="9">
        <v>46240</v>
      </c>
      <c r="J165" t="s">
        <v>27</v>
      </c>
      <c r="L165" t="s">
        <v>518</v>
      </c>
      <c r="N165" t="s">
        <v>519</v>
      </c>
      <c r="P165" t="s">
        <v>64</v>
      </c>
      <c r="R165" t="s">
        <v>31</v>
      </c>
      <c r="T165" t="s">
        <v>32</v>
      </c>
      <c r="V165" t="s">
        <v>71</v>
      </c>
      <c r="X165" t="s">
        <v>71</v>
      </c>
      <c r="Z165" t="s">
        <v>64</v>
      </c>
      <c r="AB165" t="s">
        <v>35</v>
      </c>
      <c r="AD165" t="s">
        <v>65</v>
      </c>
      <c r="AF165" t="s">
        <v>520</v>
      </c>
      <c r="AH165" t="s">
        <v>38</v>
      </c>
      <c r="AJ165" t="s">
        <v>39</v>
      </c>
      <c r="AL165">
        <v>0</v>
      </c>
      <c r="AN165">
        <v>1</v>
      </c>
      <c r="AP165">
        <v>105000</v>
      </c>
      <c r="AR165">
        <v>105000</v>
      </c>
      <c r="AT165" t="s">
        <v>64</v>
      </c>
      <c r="AU165" t="str">
        <f t="shared" si="2"/>
        <v>Omset Interface</v>
      </c>
    </row>
    <row r="166" spans="2:47" ht="23.1" customHeight="1">
      <c r="B166" s="9">
        <v>46240</v>
      </c>
      <c r="D166" t="s">
        <v>516</v>
      </c>
      <c r="F166" t="s">
        <v>517</v>
      </c>
      <c r="H166" s="9">
        <v>46240</v>
      </c>
      <c r="J166" t="s">
        <v>27</v>
      </c>
      <c r="L166" t="s">
        <v>518</v>
      </c>
      <c r="N166" t="s">
        <v>519</v>
      </c>
      <c r="P166" t="s">
        <v>64</v>
      </c>
      <c r="R166" t="s">
        <v>31</v>
      </c>
      <c r="T166" t="s">
        <v>41</v>
      </c>
      <c r="V166" t="s">
        <v>71</v>
      </c>
      <c r="X166" t="s">
        <v>71</v>
      </c>
      <c r="Z166" t="s">
        <v>64</v>
      </c>
      <c r="AB166" t="s">
        <v>35</v>
      </c>
      <c r="AD166" t="s">
        <v>65</v>
      </c>
      <c r="AF166" t="s">
        <v>520</v>
      </c>
      <c r="AH166" t="s">
        <v>180</v>
      </c>
      <c r="AJ166" t="s">
        <v>181</v>
      </c>
      <c r="AL166">
        <v>20000</v>
      </c>
      <c r="AN166">
        <v>1</v>
      </c>
      <c r="AP166">
        <v>30000</v>
      </c>
      <c r="AR166">
        <v>30000</v>
      </c>
      <c r="AT166" t="s">
        <v>64</v>
      </c>
      <c r="AU166" t="str">
        <f t="shared" si="2"/>
        <v>Omset lainnya</v>
      </c>
    </row>
    <row r="167" spans="2:47" ht="23.1" customHeight="1">
      <c r="B167" s="9">
        <v>46240</v>
      </c>
      <c r="D167" t="s">
        <v>516</v>
      </c>
      <c r="F167" t="s">
        <v>517</v>
      </c>
      <c r="H167" s="9">
        <v>46240</v>
      </c>
      <c r="J167" t="s">
        <v>27</v>
      </c>
      <c r="L167" t="s">
        <v>518</v>
      </c>
      <c r="N167" t="s">
        <v>519</v>
      </c>
      <c r="P167" t="s">
        <v>64</v>
      </c>
      <c r="R167" t="s">
        <v>31</v>
      </c>
      <c r="T167" t="s">
        <v>94</v>
      </c>
      <c r="V167" t="s">
        <v>71</v>
      </c>
      <c r="X167" t="s">
        <v>71</v>
      </c>
      <c r="Z167" t="s">
        <v>64</v>
      </c>
      <c r="AB167" t="s">
        <v>35</v>
      </c>
      <c r="AD167" t="s">
        <v>65</v>
      </c>
      <c r="AF167" t="s">
        <v>520</v>
      </c>
      <c r="AH167" t="s">
        <v>521</v>
      </c>
      <c r="AJ167" t="s">
        <v>522</v>
      </c>
      <c r="AL167">
        <v>122500</v>
      </c>
      <c r="AN167">
        <v>1</v>
      </c>
      <c r="AP167">
        <v>135000</v>
      </c>
      <c r="AR167">
        <v>135000</v>
      </c>
      <c r="AT167" t="s">
        <v>64</v>
      </c>
      <c r="AU167" t="str">
        <f t="shared" si="2"/>
        <v>Omset lainnya</v>
      </c>
    </row>
    <row r="168" spans="2:47" ht="23.1" customHeight="1">
      <c r="B168" s="9">
        <v>46240</v>
      </c>
      <c r="D168" t="s">
        <v>430</v>
      </c>
      <c r="F168" t="s">
        <v>431</v>
      </c>
      <c r="H168" s="9">
        <v>46240</v>
      </c>
      <c r="J168" t="s">
        <v>27</v>
      </c>
      <c r="L168" t="s">
        <v>432</v>
      </c>
      <c r="N168" t="s">
        <v>433</v>
      </c>
      <c r="P168" t="s">
        <v>64</v>
      </c>
      <c r="R168" t="s">
        <v>31</v>
      </c>
      <c r="T168" t="s">
        <v>94</v>
      </c>
      <c r="V168" t="s">
        <v>33</v>
      </c>
      <c r="X168" t="s">
        <v>33</v>
      </c>
      <c r="Z168" t="s">
        <v>64</v>
      </c>
      <c r="AB168" t="s">
        <v>268</v>
      </c>
      <c r="AD168" t="s">
        <v>128</v>
      </c>
      <c r="AF168" t="s">
        <v>434</v>
      </c>
      <c r="AH168" t="s">
        <v>523</v>
      </c>
      <c r="AJ168" t="s">
        <v>524</v>
      </c>
      <c r="AL168">
        <v>128000</v>
      </c>
      <c r="AN168">
        <v>1</v>
      </c>
      <c r="AP168">
        <v>140000</v>
      </c>
      <c r="AR168">
        <v>140000</v>
      </c>
      <c r="AT168" t="s">
        <v>64</v>
      </c>
      <c r="AU168" t="str">
        <f t="shared" si="2"/>
        <v>Omset lainnya</v>
      </c>
    </row>
    <row r="169" spans="2:47" ht="23.1" customHeight="1">
      <c r="B169" s="9">
        <v>46242</v>
      </c>
      <c r="D169" t="s">
        <v>154</v>
      </c>
      <c r="F169" t="s">
        <v>155</v>
      </c>
      <c r="H169" s="9">
        <v>46235</v>
      </c>
      <c r="J169" t="s">
        <v>27</v>
      </c>
      <c r="L169" t="s">
        <v>156</v>
      </c>
      <c r="N169" t="s">
        <v>157</v>
      </c>
      <c r="P169" t="s">
        <v>64</v>
      </c>
      <c r="R169" t="s">
        <v>31</v>
      </c>
      <c r="T169" t="s">
        <v>32</v>
      </c>
      <c r="V169" t="s">
        <v>86</v>
      </c>
      <c r="X169" t="s">
        <v>86</v>
      </c>
      <c r="Z169" t="s">
        <v>57</v>
      </c>
      <c r="AB169" t="s">
        <v>95</v>
      </c>
      <c r="AD169" t="s">
        <v>65</v>
      </c>
      <c r="AF169" t="s">
        <v>158</v>
      </c>
      <c r="AH169" t="s">
        <v>525</v>
      </c>
      <c r="AJ169" t="s">
        <v>526</v>
      </c>
      <c r="AL169">
        <v>0</v>
      </c>
      <c r="AN169">
        <v>1</v>
      </c>
      <c r="AP169">
        <v>160000</v>
      </c>
      <c r="AR169">
        <v>160000</v>
      </c>
      <c r="AU169" t="str">
        <f t="shared" si="2"/>
        <v>Omset Normal</v>
      </c>
    </row>
    <row r="170" spans="2:47" ht="23.1" customHeight="1">
      <c r="B170" s="9">
        <v>46241</v>
      </c>
      <c r="D170" t="s">
        <v>527</v>
      </c>
      <c r="F170" t="s">
        <v>528</v>
      </c>
      <c r="H170" s="9">
        <v>46240</v>
      </c>
      <c r="J170" t="s">
        <v>54</v>
      </c>
      <c r="L170" t="s">
        <v>233</v>
      </c>
      <c r="N170" t="s">
        <v>234</v>
      </c>
      <c r="P170" t="s">
        <v>64</v>
      </c>
      <c r="R170" t="s">
        <v>31</v>
      </c>
      <c r="T170" t="s">
        <v>94</v>
      </c>
      <c r="V170" t="s">
        <v>127</v>
      </c>
      <c r="X170" t="s">
        <v>127</v>
      </c>
      <c r="Z170" t="s">
        <v>64</v>
      </c>
      <c r="AB170" t="s">
        <v>111</v>
      </c>
      <c r="AD170" t="s">
        <v>65</v>
      </c>
      <c r="AF170" t="s">
        <v>235</v>
      </c>
      <c r="AH170" t="s">
        <v>529</v>
      </c>
      <c r="AJ170" t="s">
        <v>530</v>
      </c>
      <c r="AL170">
        <v>175000</v>
      </c>
      <c r="AN170">
        <v>1</v>
      </c>
      <c r="AP170">
        <v>180000</v>
      </c>
      <c r="AR170">
        <v>180000</v>
      </c>
      <c r="AU170" t="str">
        <f t="shared" si="2"/>
        <v>Omset lainnya</v>
      </c>
    </row>
    <row r="171" spans="2:47" ht="23.1" customHeight="1">
      <c r="B171" s="9">
        <v>46241</v>
      </c>
      <c r="D171" t="s">
        <v>527</v>
      </c>
      <c r="F171" t="s">
        <v>528</v>
      </c>
      <c r="H171" s="9">
        <v>46240</v>
      </c>
      <c r="J171" t="s">
        <v>54</v>
      </c>
      <c r="L171" t="s">
        <v>233</v>
      </c>
      <c r="N171" t="s">
        <v>234</v>
      </c>
      <c r="P171" t="s">
        <v>64</v>
      </c>
      <c r="R171" t="s">
        <v>31</v>
      </c>
      <c r="T171" t="s">
        <v>32</v>
      </c>
      <c r="V171" t="s">
        <v>127</v>
      </c>
      <c r="X171" t="s">
        <v>127</v>
      </c>
      <c r="Z171" t="s">
        <v>64</v>
      </c>
      <c r="AB171" t="s">
        <v>111</v>
      </c>
      <c r="AD171" t="s">
        <v>65</v>
      </c>
      <c r="AF171" t="s">
        <v>235</v>
      </c>
      <c r="AH171" t="s">
        <v>114</v>
      </c>
      <c r="AJ171" t="s">
        <v>115</v>
      </c>
      <c r="AL171">
        <v>0</v>
      </c>
      <c r="AN171">
        <v>1</v>
      </c>
      <c r="AP171">
        <v>50000</v>
      </c>
      <c r="AR171">
        <v>50000</v>
      </c>
      <c r="AU171" t="str">
        <f t="shared" si="2"/>
        <v>Omset Normal</v>
      </c>
    </row>
    <row r="172" spans="2:47" ht="23.1" customHeight="1">
      <c r="B172" s="9">
        <v>46241</v>
      </c>
      <c r="D172" t="s">
        <v>531</v>
      </c>
      <c r="F172" t="s">
        <v>532</v>
      </c>
      <c r="H172" s="9">
        <v>46241</v>
      </c>
      <c r="J172" t="s">
        <v>27</v>
      </c>
      <c r="L172" t="s">
        <v>533</v>
      </c>
      <c r="N172" t="s">
        <v>534</v>
      </c>
      <c r="P172" t="s">
        <v>64</v>
      </c>
      <c r="R172" t="s">
        <v>31</v>
      </c>
      <c r="T172" t="s">
        <v>32</v>
      </c>
      <c r="V172" t="s">
        <v>86</v>
      </c>
      <c r="X172" t="s">
        <v>86</v>
      </c>
      <c r="Z172" t="s">
        <v>64</v>
      </c>
      <c r="AB172" t="s">
        <v>35</v>
      </c>
      <c r="AD172" t="s">
        <v>50</v>
      </c>
      <c r="AF172" t="s">
        <v>494</v>
      </c>
      <c r="AH172" t="s">
        <v>38</v>
      </c>
      <c r="AJ172" t="s">
        <v>39</v>
      </c>
      <c r="AL172">
        <v>0</v>
      </c>
      <c r="AN172">
        <v>1</v>
      </c>
      <c r="AP172">
        <v>63000</v>
      </c>
      <c r="AR172">
        <v>63000</v>
      </c>
      <c r="AT172" t="s">
        <v>64</v>
      </c>
      <c r="AU172" t="str">
        <f t="shared" si="2"/>
        <v>Omset Interface</v>
      </c>
    </row>
    <row r="173" spans="2:47" ht="23.1" customHeight="1">
      <c r="B173" s="9">
        <v>46241</v>
      </c>
      <c r="D173" t="s">
        <v>531</v>
      </c>
      <c r="F173" t="s">
        <v>532</v>
      </c>
      <c r="H173" s="9">
        <v>46241</v>
      </c>
      <c r="J173" t="s">
        <v>27</v>
      </c>
      <c r="L173" t="s">
        <v>533</v>
      </c>
      <c r="N173" t="s">
        <v>534</v>
      </c>
      <c r="P173" t="s">
        <v>64</v>
      </c>
      <c r="R173" t="s">
        <v>31</v>
      </c>
      <c r="T173" t="s">
        <v>41</v>
      </c>
      <c r="V173" t="s">
        <v>86</v>
      </c>
      <c r="X173" t="s">
        <v>86</v>
      </c>
      <c r="Z173" t="s">
        <v>64</v>
      </c>
      <c r="AB173" t="s">
        <v>35</v>
      </c>
      <c r="AD173" t="s">
        <v>50</v>
      </c>
      <c r="AF173" t="s">
        <v>494</v>
      </c>
      <c r="AH173" t="s">
        <v>180</v>
      </c>
      <c r="AJ173" t="s">
        <v>181</v>
      </c>
      <c r="AL173">
        <v>20000</v>
      </c>
      <c r="AN173">
        <v>1</v>
      </c>
      <c r="AP173">
        <v>30000</v>
      </c>
      <c r="AR173">
        <v>30000</v>
      </c>
      <c r="AT173" t="s">
        <v>64</v>
      </c>
      <c r="AU173" t="str">
        <f t="shared" si="2"/>
        <v>Omset lainnya</v>
      </c>
    </row>
    <row r="174" spans="2:47" ht="23.1" customHeight="1">
      <c r="B174" s="9">
        <v>46241</v>
      </c>
      <c r="D174" t="s">
        <v>531</v>
      </c>
      <c r="F174" t="s">
        <v>532</v>
      </c>
      <c r="H174" s="9">
        <v>46241</v>
      </c>
      <c r="J174" t="s">
        <v>27</v>
      </c>
      <c r="L174" t="s">
        <v>533</v>
      </c>
      <c r="N174" t="s">
        <v>534</v>
      </c>
      <c r="P174" t="s">
        <v>64</v>
      </c>
      <c r="R174" t="s">
        <v>31</v>
      </c>
      <c r="T174" t="s">
        <v>41</v>
      </c>
      <c r="V174" t="s">
        <v>86</v>
      </c>
      <c r="X174" t="s">
        <v>86</v>
      </c>
      <c r="Z174" t="s">
        <v>64</v>
      </c>
      <c r="AB174" t="s">
        <v>35</v>
      </c>
      <c r="AD174" t="s">
        <v>50</v>
      </c>
      <c r="AF174" t="s">
        <v>494</v>
      </c>
      <c r="AH174" t="s">
        <v>42</v>
      </c>
      <c r="AJ174" t="s">
        <v>43</v>
      </c>
      <c r="AL174">
        <v>17450</v>
      </c>
      <c r="AN174">
        <v>1</v>
      </c>
      <c r="AP174">
        <v>20000</v>
      </c>
      <c r="AR174">
        <v>20000</v>
      </c>
      <c r="AT174" t="s">
        <v>64</v>
      </c>
      <c r="AU174" t="str">
        <f t="shared" si="2"/>
        <v>Omset lainnya</v>
      </c>
    </row>
    <row r="175" spans="2:47" ht="23.1" customHeight="1">
      <c r="B175" s="9">
        <v>46241</v>
      </c>
      <c r="D175" t="s">
        <v>535</v>
      </c>
      <c r="F175" t="s">
        <v>536</v>
      </c>
      <c r="H175" s="9">
        <v>46241</v>
      </c>
      <c r="J175" t="s">
        <v>27</v>
      </c>
      <c r="L175" t="s">
        <v>250</v>
      </c>
      <c r="N175" t="s">
        <v>251</v>
      </c>
      <c r="P175" t="s">
        <v>77</v>
      </c>
      <c r="R175" t="s">
        <v>31</v>
      </c>
      <c r="T175" t="s">
        <v>32</v>
      </c>
      <c r="V175" t="s">
        <v>127</v>
      </c>
      <c r="X175" t="s">
        <v>127</v>
      </c>
      <c r="Z175" t="s">
        <v>77</v>
      </c>
      <c r="AB175" t="s">
        <v>35</v>
      </c>
      <c r="AD175" t="s">
        <v>36</v>
      </c>
      <c r="AF175" t="s">
        <v>537</v>
      </c>
      <c r="AH175" t="s">
        <v>38</v>
      </c>
      <c r="AJ175" t="s">
        <v>39</v>
      </c>
      <c r="AL175">
        <v>0</v>
      </c>
      <c r="AN175">
        <v>1</v>
      </c>
      <c r="AP175">
        <v>61000</v>
      </c>
      <c r="AR175">
        <v>61000</v>
      </c>
      <c r="AU175" t="str">
        <f t="shared" si="2"/>
        <v>Omset Interface</v>
      </c>
    </row>
    <row r="176" spans="2:47" ht="23.1" customHeight="1">
      <c r="B176" s="9">
        <v>46241</v>
      </c>
      <c r="D176" t="s">
        <v>535</v>
      </c>
      <c r="F176" t="s">
        <v>536</v>
      </c>
      <c r="H176" s="9">
        <v>46241</v>
      </c>
      <c r="J176" t="s">
        <v>27</v>
      </c>
      <c r="L176" t="s">
        <v>250</v>
      </c>
      <c r="N176" t="s">
        <v>251</v>
      </c>
      <c r="P176" t="s">
        <v>77</v>
      </c>
      <c r="R176" t="s">
        <v>31</v>
      </c>
      <c r="T176" t="s">
        <v>41</v>
      </c>
      <c r="V176" t="s">
        <v>127</v>
      </c>
      <c r="X176" t="s">
        <v>127</v>
      </c>
      <c r="Z176" t="s">
        <v>77</v>
      </c>
      <c r="AB176" t="s">
        <v>35</v>
      </c>
      <c r="AD176" t="s">
        <v>36</v>
      </c>
      <c r="AF176" t="s">
        <v>537</v>
      </c>
      <c r="AH176" t="s">
        <v>180</v>
      </c>
      <c r="AJ176" t="s">
        <v>181</v>
      </c>
      <c r="AL176">
        <v>20000</v>
      </c>
      <c r="AN176">
        <v>1</v>
      </c>
      <c r="AP176">
        <v>30000</v>
      </c>
      <c r="AR176">
        <v>30000</v>
      </c>
      <c r="AU176" t="str">
        <f t="shared" si="2"/>
        <v>Omset lainnya</v>
      </c>
    </row>
    <row r="177" spans="2:47" ht="23.1" customHeight="1">
      <c r="B177" s="9">
        <v>46241</v>
      </c>
      <c r="D177" t="s">
        <v>478</v>
      </c>
      <c r="F177" t="s">
        <v>479</v>
      </c>
      <c r="H177" s="9">
        <v>46240</v>
      </c>
      <c r="J177" t="s">
        <v>27</v>
      </c>
      <c r="L177" t="s">
        <v>480</v>
      </c>
      <c r="N177" t="s">
        <v>481</v>
      </c>
      <c r="P177" t="s">
        <v>64</v>
      </c>
      <c r="R177" t="s">
        <v>31</v>
      </c>
      <c r="T177" t="s">
        <v>32</v>
      </c>
      <c r="V177" t="s">
        <v>71</v>
      </c>
      <c r="X177" t="s">
        <v>71</v>
      </c>
      <c r="Z177" t="s">
        <v>64</v>
      </c>
      <c r="AB177" t="s">
        <v>35</v>
      </c>
      <c r="AD177" t="s">
        <v>65</v>
      </c>
      <c r="AF177" t="s">
        <v>482</v>
      </c>
      <c r="AH177" t="s">
        <v>38</v>
      </c>
      <c r="AJ177" t="s">
        <v>39</v>
      </c>
      <c r="AL177">
        <v>0</v>
      </c>
      <c r="AN177">
        <v>1</v>
      </c>
      <c r="AP177">
        <v>12000</v>
      </c>
      <c r="AR177">
        <v>12000</v>
      </c>
      <c r="AT177" t="s">
        <v>64</v>
      </c>
      <c r="AU177" t="str">
        <f t="shared" si="2"/>
        <v>Omset Interface</v>
      </c>
    </row>
    <row r="178" spans="2:47" ht="23.1" customHeight="1">
      <c r="B178" s="9">
        <v>46241</v>
      </c>
      <c r="D178" t="s">
        <v>478</v>
      </c>
      <c r="F178" t="s">
        <v>479</v>
      </c>
      <c r="H178" s="9">
        <v>46240</v>
      </c>
      <c r="J178" t="s">
        <v>27</v>
      </c>
      <c r="L178" t="s">
        <v>480</v>
      </c>
      <c r="N178" t="s">
        <v>481</v>
      </c>
      <c r="P178" t="s">
        <v>64</v>
      </c>
      <c r="R178" t="s">
        <v>31</v>
      </c>
      <c r="T178" t="s">
        <v>32</v>
      </c>
      <c r="V178" t="s">
        <v>71</v>
      </c>
      <c r="X178" t="s">
        <v>71</v>
      </c>
      <c r="Z178" t="s">
        <v>64</v>
      </c>
      <c r="AB178" t="s">
        <v>35</v>
      </c>
      <c r="AD178" t="s">
        <v>65</v>
      </c>
      <c r="AF178" t="s">
        <v>482</v>
      </c>
      <c r="AH178" t="s">
        <v>145</v>
      </c>
      <c r="AJ178" t="s">
        <v>146</v>
      </c>
      <c r="AL178">
        <v>0</v>
      </c>
      <c r="AN178">
        <v>1</v>
      </c>
      <c r="AP178">
        <v>134000</v>
      </c>
      <c r="AR178">
        <v>134000</v>
      </c>
      <c r="AT178" t="s">
        <v>64</v>
      </c>
      <c r="AU178" t="str">
        <f t="shared" si="2"/>
        <v>Omset Normal</v>
      </c>
    </row>
    <row r="179" spans="2:47" ht="23.1" customHeight="1">
      <c r="B179" s="9">
        <v>46242</v>
      </c>
      <c r="D179" t="s">
        <v>538</v>
      </c>
      <c r="F179" t="s">
        <v>539</v>
      </c>
      <c r="H179" s="9">
        <v>46242</v>
      </c>
      <c r="J179" t="s">
        <v>27</v>
      </c>
      <c r="L179" t="s">
        <v>540</v>
      </c>
      <c r="N179" t="s">
        <v>541</v>
      </c>
      <c r="P179" t="s">
        <v>77</v>
      </c>
      <c r="R179" t="s">
        <v>177</v>
      </c>
      <c r="T179" t="s">
        <v>41</v>
      </c>
      <c r="Z179" t="s">
        <v>77</v>
      </c>
      <c r="AB179" t="s">
        <v>178</v>
      </c>
      <c r="AD179" t="s">
        <v>78</v>
      </c>
      <c r="AF179" t="s">
        <v>542</v>
      </c>
      <c r="AH179" t="s">
        <v>543</v>
      </c>
      <c r="AJ179" t="s">
        <v>544</v>
      </c>
      <c r="AL179">
        <v>81400</v>
      </c>
      <c r="AN179">
        <v>1</v>
      </c>
      <c r="AP179">
        <v>82000</v>
      </c>
      <c r="AR179">
        <v>82000</v>
      </c>
      <c r="AT179" t="s">
        <v>77</v>
      </c>
      <c r="AU179" t="str">
        <f t="shared" si="2"/>
        <v>Omset lainnya</v>
      </c>
    </row>
    <row r="180" spans="2:47" ht="23.1" customHeight="1">
      <c r="B180" s="9">
        <v>46241</v>
      </c>
      <c r="D180" t="s">
        <v>535</v>
      </c>
      <c r="F180" t="s">
        <v>536</v>
      </c>
      <c r="H180" s="9">
        <v>46241</v>
      </c>
      <c r="J180" t="s">
        <v>27</v>
      </c>
      <c r="L180" t="s">
        <v>250</v>
      </c>
      <c r="N180" t="s">
        <v>251</v>
      </c>
      <c r="P180" t="s">
        <v>77</v>
      </c>
      <c r="R180" t="s">
        <v>31</v>
      </c>
      <c r="T180" t="s">
        <v>94</v>
      </c>
      <c r="V180" t="s">
        <v>127</v>
      </c>
      <c r="X180" t="s">
        <v>127</v>
      </c>
      <c r="Z180" t="s">
        <v>77</v>
      </c>
      <c r="AB180" t="s">
        <v>35</v>
      </c>
      <c r="AD180" t="s">
        <v>36</v>
      </c>
      <c r="AF180" t="s">
        <v>537</v>
      </c>
      <c r="AH180" t="s">
        <v>545</v>
      </c>
      <c r="AJ180" t="s">
        <v>546</v>
      </c>
      <c r="AL180">
        <v>143500</v>
      </c>
      <c r="AN180">
        <v>1</v>
      </c>
      <c r="AP180">
        <v>159000</v>
      </c>
      <c r="AR180">
        <v>159000</v>
      </c>
      <c r="AU180" t="str">
        <f t="shared" si="2"/>
        <v>Omset lainnya</v>
      </c>
    </row>
    <row r="181" spans="2:47" ht="23.1" customHeight="1">
      <c r="B181" s="9">
        <v>46241</v>
      </c>
      <c r="D181" t="s">
        <v>463</v>
      </c>
      <c r="F181" t="s">
        <v>464</v>
      </c>
      <c r="H181" s="9">
        <v>46241</v>
      </c>
      <c r="J181" t="s">
        <v>27</v>
      </c>
      <c r="L181" t="s">
        <v>465</v>
      </c>
      <c r="N181" t="s">
        <v>466</v>
      </c>
      <c r="P181" t="s">
        <v>64</v>
      </c>
      <c r="R181" t="s">
        <v>31</v>
      </c>
      <c r="T181" t="s">
        <v>94</v>
      </c>
      <c r="V181" t="s">
        <v>33</v>
      </c>
      <c r="X181" t="s">
        <v>33</v>
      </c>
      <c r="Z181" t="s">
        <v>64</v>
      </c>
      <c r="AB181" t="s">
        <v>35</v>
      </c>
      <c r="AD181" t="s">
        <v>65</v>
      </c>
      <c r="AF181" t="s">
        <v>467</v>
      </c>
      <c r="AH181" t="s">
        <v>547</v>
      </c>
      <c r="AJ181" t="s">
        <v>548</v>
      </c>
      <c r="AL181">
        <v>1920000</v>
      </c>
      <c r="AN181">
        <v>1</v>
      </c>
      <c r="AP181">
        <v>2000000</v>
      </c>
      <c r="AR181">
        <v>2000000</v>
      </c>
      <c r="AT181" t="s">
        <v>64</v>
      </c>
      <c r="AU181" t="str">
        <f t="shared" si="2"/>
        <v>Omset lainnya</v>
      </c>
    </row>
    <row r="182" spans="2:47" ht="23.1" customHeight="1">
      <c r="B182" s="9">
        <v>46241</v>
      </c>
      <c r="D182" t="s">
        <v>549</v>
      </c>
      <c r="F182" t="s">
        <v>550</v>
      </c>
      <c r="H182" s="9">
        <v>46241</v>
      </c>
      <c r="J182" t="s">
        <v>54</v>
      </c>
      <c r="L182" t="s">
        <v>551</v>
      </c>
      <c r="N182" t="s">
        <v>552</v>
      </c>
      <c r="P182" t="s">
        <v>77</v>
      </c>
      <c r="R182" t="s">
        <v>31</v>
      </c>
      <c r="T182" t="s">
        <v>94</v>
      </c>
      <c r="V182" t="s">
        <v>127</v>
      </c>
      <c r="X182" t="s">
        <v>127</v>
      </c>
      <c r="Z182" t="s">
        <v>77</v>
      </c>
      <c r="AB182" t="s">
        <v>35</v>
      </c>
      <c r="AD182" t="s">
        <v>36</v>
      </c>
      <c r="AF182" t="s">
        <v>283</v>
      </c>
      <c r="AH182" t="s">
        <v>553</v>
      </c>
      <c r="AJ182" t="s">
        <v>554</v>
      </c>
      <c r="AL182">
        <v>156500</v>
      </c>
      <c r="AN182">
        <v>1</v>
      </c>
      <c r="AP182">
        <v>172500</v>
      </c>
      <c r="AR182">
        <v>172500</v>
      </c>
      <c r="AU182" t="str">
        <f t="shared" si="2"/>
        <v>Omset lainnya</v>
      </c>
    </row>
    <row r="183" spans="2:47" ht="23.1" customHeight="1">
      <c r="B183" s="9">
        <v>46241</v>
      </c>
      <c r="D183" t="s">
        <v>555</v>
      </c>
      <c r="F183" t="s">
        <v>556</v>
      </c>
      <c r="H183" s="9">
        <v>46241</v>
      </c>
      <c r="J183" t="s">
        <v>27</v>
      </c>
      <c r="L183" t="s">
        <v>557</v>
      </c>
      <c r="N183" t="s">
        <v>558</v>
      </c>
      <c r="P183" t="s">
        <v>64</v>
      </c>
      <c r="R183" t="s">
        <v>31</v>
      </c>
      <c r="T183" t="s">
        <v>94</v>
      </c>
      <c r="V183" t="s">
        <v>71</v>
      </c>
      <c r="X183" t="s">
        <v>71</v>
      </c>
      <c r="Z183" t="s">
        <v>64</v>
      </c>
      <c r="AB183" t="s">
        <v>35</v>
      </c>
      <c r="AD183" t="s">
        <v>65</v>
      </c>
      <c r="AF183" t="s">
        <v>559</v>
      </c>
      <c r="AH183" t="s">
        <v>560</v>
      </c>
      <c r="AJ183" t="s">
        <v>561</v>
      </c>
      <c r="AL183">
        <v>145500</v>
      </c>
      <c r="AN183">
        <v>1</v>
      </c>
      <c r="AP183">
        <v>161000</v>
      </c>
      <c r="AR183">
        <v>161000</v>
      </c>
      <c r="AT183" t="s">
        <v>64</v>
      </c>
      <c r="AU183" t="str">
        <f t="shared" si="2"/>
        <v>Omset lainnya</v>
      </c>
    </row>
    <row r="184" spans="2:47" ht="23.1" customHeight="1">
      <c r="B184" s="9">
        <v>46241</v>
      </c>
      <c r="D184" t="s">
        <v>478</v>
      </c>
      <c r="F184" t="s">
        <v>479</v>
      </c>
      <c r="H184" s="9">
        <v>46240</v>
      </c>
      <c r="J184" t="s">
        <v>27</v>
      </c>
      <c r="L184" t="s">
        <v>480</v>
      </c>
      <c r="N184" t="s">
        <v>481</v>
      </c>
      <c r="P184" t="s">
        <v>64</v>
      </c>
      <c r="R184" t="s">
        <v>31</v>
      </c>
      <c r="T184" t="s">
        <v>94</v>
      </c>
      <c r="V184" t="s">
        <v>71</v>
      </c>
      <c r="X184" t="s">
        <v>71</v>
      </c>
      <c r="Z184" t="s">
        <v>64</v>
      </c>
      <c r="AB184" t="s">
        <v>35</v>
      </c>
      <c r="AD184" t="s">
        <v>65</v>
      </c>
      <c r="AF184" t="s">
        <v>482</v>
      </c>
      <c r="AH184" t="s">
        <v>562</v>
      </c>
      <c r="AJ184" t="s">
        <v>563</v>
      </c>
      <c r="AL184">
        <v>8000</v>
      </c>
      <c r="AN184">
        <v>1</v>
      </c>
      <c r="AP184">
        <v>16000</v>
      </c>
      <c r="AR184">
        <v>16000</v>
      </c>
      <c r="AT184" t="s">
        <v>64</v>
      </c>
      <c r="AU184" t="str">
        <f t="shared" si="2"/>
        <v>Omset lainnya</v>
      </c>
    </row>
    <row r="185" spans="2:47" ht="23.1" customHeight="1">
      <c r="B185" s="9">
        <v>46242</v>
      </c>
      <c r="D185" t="s">
        <v>564</v>
      </c>
      <c r="F185" t="s">
        <v>565</v>
      </c>
      <c r="H185" s="9">
        <v>46240</v>
      </c>
      <c r="J185" t="s">
        <v>27</v>
      </c>
      <c r="L185" t="s">
        <v>566</v>
      </c>
      <c r="N185" t="s">
        <v>567</v>
      </c>
      <c r="P185" t="s">
        <v>64</v>
      </c>
      <c r="R185" t="s">
        <v>31</v>
      </c>
      <c r="T185" t="s">
        <v>94</v>
      </c>
      <c r="V185" t="s">
        <v>49</v>
      </c>
      <c r="X185" t="s">
        <v>49</v>
      </c>
      <c r="Z185" t="s">
        <v>64</v>
      </c>
      <c r="AB185" t="s">
        <v>35</v>
      </c>
      <c r="AD185" t="s">
        <v>568</v>
      </c>
      <c r="AF185" t="s">
        <v>569</v>
      </c>
      <c r="AH185" t="s">
        <v>570</v>
      </c>
      <c r="AJ185" t="s">
        <v>571</v>
      </c>
      <c r="AL185">
        <v>317000</v>
      </c>
      <c r="AN185">
        <v>1</v>
      </c>
      <c r="AP185">
        <v>320000</v>
      </c>
      <c r="AR185">
        <v>320000</v>
      </c>
      <c r="AT185" t="s">
        <v>64</v>
      </c>
      <c r="AU185" t="str">
        <f t="shared" si="2"/>
        <v>Omset lainnya</v>
      </c>
    </row>
    <row r="186" spans="2:47" ht="23.1" customHeight="1">
      <c r="B186" s="9">
        <v>46239</v>
      </c>
      <c r="D186" t="s">
        <v>572</v>
      </c>
      <c r="F186" t="s">
        <v>573</v>
      </c>
      <c r="H186" s="9">
        <v>46239</v>
      </c>
      <c r="J186" t="s">
        <v>27</v>
      </c>
      <c r="L186" t="s">
        <v>574</v>
      </c>
      <c r="N186" t="s">
        <v>575</v>
      </c>
      <c r="P186" t="s">
        <v>77</v>
      </c>
      <c r="R186" t="s">
        <v>31</v>
      </c>
      <c r="T186" t="s">
        <v>94</v>
      </c>
      <c r="V186" t="s">
        <v>49</v>
      </c>
      <c r="X186" t="s">
        <v>49</v>
      </c>
      <c r="Z186" t="s">
        <v>77</v>
      </c>
      <c r="AB186" t="s">
        <v>576</v>
      </c>
      <c r="AD186" t="s">
        <v>65</v>
      </c>
      <c r="AF186" t="s">
        <v>577</v>
      </c>
      <c r="AH186" t="s">
        <v>578</v>
      </c>
      <c r="AJ186" t="s">
        <v>579</v>
      </c>
      <c r="AL186">
        <v>52550</v>
      </c>
      <c r="AN186">
        <v>1</v>
      </c>
      <c r="AP186">
        <v>65000</v>
      </c>
      <c r="AR186">
        <v>65000</v>
      </c>
      <c r="AU186" t="str">
        <f t="shared" si="2"/>
        <v>Omset lainnya</v>
      </c>
    </row>
    <row r="187" spans="2:47" ht="23.1" customHeight="1">
      <c r="B187" s="9">
        <v>46242</v>
      </c>
      <c r="D187" t="s">
        <v>580</v>
      </c>
      <c r="F187" t="s">
        <v>581</v>
      </c>
      <c r="H187" s="9">
        <v>46242</v>
      </c>
      <c r="J187" t="s">
        <v>27</v>
      </c>
      <c r="L187" t="s">
        <v>582</v>
      </c>
      <c r="N187" t="s">
        <v>583</v>
      </c>
      <c r="P187" t="s">
        <v>64</v>
      </c>
      <c r="R187" t="s">
        <v>31</v>
      </c>
      <c r="T187" t="s">
        <v>32</v>
      </c>
      <c r="V187" t="s">
        <v>71</v>
      </c>
      <c r="X187" t="s">
        <v>71</v>
      </c>
      <c r="Z187" t="s">
        <v>64</v>
      </c>
      <c r="AB187" t="s">
        <v>35</v>
      </c>
      <c r="AD187" t="s">
        <v>58</v>
      </c>
      <c r="AF187" t="s">
        <v>584</v>
      </c>
      <c r="AH187" t="s">
        <v>38</v>
      </c>
      <c r="AJ187" t="s">
        <v>39</v>
      </c>
      <c r="AL187">
        <v>0</v>
      </c>
      <c r="AN187">
        <v>1</v>
      </c>
      <c r="AP187">
        <v>112500</v>
      </c>
      <c r="AR187">
        <v>112500</v>
      </c>
      <c r="AT187" t="s">
        <v>64</v>
      </c>
      <c r="AU187" t="str">
        <f t="shared" si="2"/>
        <v>Omset Interface</v>
      </c>
    </row>
    <row r="188" spans="2:47" ht="23.1" customHeight="1">
      <c r="B188" s="9">
        <v>46242</v>
      </c>
      <c r="D188" t="s">
        <v>580</v>
      </c>
      <c r="F188" t="s">
        <v>581</v>
      </c>
      <c r="H188" s="9">
        <v>46242</v>
      </c>
      <c r="J188" t="s">
        <v>27</v>
      </c>
      <c r="L188" t="s">
        <v>582</v>
      </c>
      <c r="N188" t="s">
        <v>583</v>
      </c>
      <c r="P188" t="s">
        <v>64</v>
      </c>
      <c r="R188" t="s">
        <v>31</v>
      </c>
      <c r="T188" t="s">
        <v>41</v>
      </c>
      <c r="V188" t="s">
        <v>71</v>
      </c>
      <c r="X188" t="s">
        <v>71</v>
      </c>
      <c r="Z188" t="s">
        <v>64</v>
      </c>
      <c r="AB188" t="s">
        <v>35</v>
      </c>
      <c r="AD188" t="s">
        <v>58</v>
      </c>
      <c r="AF188" t="s">
        <v>584</v>
      </c>
      <c r="AH188" t="s">
        <v>42</v>
      </c>
      <c r="AJ188" t="s">
        <v>43</v>
      </c>
      <c r="AL188">
        <v>17450</v>
      </c>
      <c r="AN188">
        <v>1</v>
      </c>
      <c r="AP188">
        <v>20000</v>
      </c>
      <c r="AR188">
        <v>20000</v>
      </c>
      <c r="AT188" t="s">
        <v>64</v>
      </c>
      <c r="AU188" t="str">
        <f t="shared" si="2"/>
        <v>Omset lainnya</v>
      </c>
    </row>
    <row r="189" spans="2:47" ht="23.1" customHeight="1">
      <c r="B189" s="9">
        <v>46242</v>
      </c>
      <c r="D189" t="s">
        <v>456</v>
      </c>
      <c r="F189" t="s">
        <v>457</v>
      </c>
      <c r="H189" s="9">
        <v>46237</v>
      </c>
      <c r="J189" t="s">
        <v>27</v>
      </c>
      <c r="L189" t="s">
        <v>458</v>
      </c>
      <c r="N189" t="s">
        <v>459</v>
      </c>
      <c r="P189" t="s">
        <v>57</v>
      </c>
      <c r="R189" t="s">
        <v>31</v>
      </c>
      <c r="T189" t="s">
        <v>32</v>
      </c>
      <c r="V189" t="s">
        <v>33</v>
      </c>
      <c r="X189" t="s">
        <v>33</v>
      </c>
      <c r="Z189" t="s">
        <v>57</v>
      </c>
      <c r="AB189" t="s">
        <v>95</v>
      </c>
      <c r="AD189" t="s">
        <v>87</v>
      </c>
      <c r="AF189" t="s">
        <v>460</v>
      </c>
      <c r="AH189" t="s">
        <v>585</v>
      </c>
      <c r="AJ189" t="s">
        <v>586</v>
      </c>
      <c r="AL189">
        <v>0</v>
      </c>
      <c r="AN189">
        <v>1</v>
      </c>
      <c r="AP189">
        <v>860000</v>
      </c>
      <c r="AR189">
        <v>860000</v>
      </c>
      <c r="AU189" t="str">
        <f t="shared" si="2"/>
        <v>Omset Mati Total</v>
      </c>
    </row>
    <row r="190" spans="2:47" ht="23.1" customHeight="1">
      <c r="B190" s="9">
        <v>46242</v>
      </c>
      <c r="D190" t="s">
        <v>456</v>
      </c>
      <c r="F190" t="s">
        <v>457</v>
      </c>
      <c r="H190" s="9">
        <v>46237</v>
      </c>
      <c r="J190" t="s">
        <v>27</v>
      </c>
      <c r="L190" t="s">
        <v>458</v>
      </c>
      <c r="N190" t="s">
        <v>459</v>
      </c>
      <c r="P190" t="s">
        <v>57</v>
      </c>
      <c r="R190" t="s">
        <v>31</v>
      </c>
      <c r="T190" t="s">
        <v>32</v>
      </c>
      <c r="V190" t="s">
        <v>33</v>
      </c>
      <c r="X190" t="s">
        <v>33</v>
      </c>
      <c r="Z190" t="s">
        <v>57</v>
      </c>
      <c r="AB190" t="s">
        <v>95</v>
      </c>
      <c r="AD190" t="s">
        <v>87</v>
      </c>
      <c r="AF190" t="s">
        <v>460</v>
      </c>
      <c r="AH190" t="s">
        <v>525</v>
      </c>
      <c r="AJ190" t="s">
        <v>526</v>
      </c>
      <c r="AL190">
        <v>0</v>
      </c>
      <c r="AN190">
        <v>1</v>
      </c>
      <c r="AP190">
        <v>100000</v>
      </c>
      <c r="AR190">
        <v>100000</v>
      </c>
      <c r="AU190" t="str">
        <f t="shared" si="2"/>
        <v>Omset Normal</v>
      </c>
    </row>
    <row r="191" spans="2:47" ht="23.1" customHeight="1">
      <c r="B191" s="9">
        <v>46242</v>
      </c>
      <c r="D191" t="s">
        <v>587</v>
      </c>
      <c r="F191" t="s">
        <v>588</v>
      </c>
      <c r="H191" s="9">
        <v>46242</v>
      </c>
      <c r="J191" t="s">
        <v>27</v>
      </c>
      <c r="L191" t="s">
        <v>589</v>
      </c>
      <c r="N191" t="s">
        <v>590</v>
      </c>
      <c r="P191" t="s">
        <v>64</v>
      </c>
      <c r="R191" t="s">
        <v>31</v>
      </c>
      <c r="T191" t="s">
        <v>32</v>
      </c>
      <c r="V191" t="s">
        <v>49</v>
      </c>
      <c r="X191" t="s">
        <v>49</v>
      </c>
      <c r="Z191" t="s">
        <v>64</v>
      </c>
      <c r="AB191" t="s">
        <v>35</v>
      </c>
      <c r="AD191" t="s">
        <v>65</v>
      </c>
      <c r="AF191" t="s">
        <v>591</v>
      </c>
      <c r="AH191" t="s">
        <v>38</v>
      </c>
      <c r="AJ191" t="s">
        <v>39</v>
      </c>
      <c r="AL191">
        <v>0</v>
      </c>
      <c r="AN191">
        <v>1</v>
      </c>
      <c r="AP191">
        <v>163900</v>
      </c>
      <c r="AR191">
        <v>163900</v>
      </c>
      <c r="AT191" t="s">
        <v>64</v>
      </c>
      <c r="AU191" t="str">
        <f t="shared" si="2"/>
        <v>Omset Interface</v>
      </c>
    </row>
    <row r="192" spans="2:47" ht="23.1" customHeight="1">
      <c r="B192" s="9">
        <v>46242</v>
      </c>
      <c r="D192" t="s">
        <v>587</v>
      </c>
      <c r="F192" t="s">
        <v>588</v>
      </c>
      <c r="H192" s="9">
        <v>46242</v>
      </c>
      <c r="J192" t="s">
        <v>27</v>
      </c>
      <c r="L192" t="s">
        <v>589</v>
      </c>
      <c r="N192" t="s">
        <v>590</v>
      </c>
      <c r="P192" t="s">
        <v>64</v>
      </c>
      <c r="R192" t="s">
        <v>31</v>
      </c>
      <c r="T192" t="s">
        <v>41</v>
      </c>
      <c r="V192" t="s">
        <v>49</v>
      </c>
      <c r="X192" t="s">
        <v>49</v>
      </c>
      <c r="Z192" t="s">
        <v>64</v>
      </c>
      <c r="AB192" t="s">
        <v>35</v>
      </c>
      <c r="AD192" t="s">
        <v>65</v>
      </c>
      <c r="AF192" t="s">
        <v>591</v>
      </c>
      <c r="AH192" t="s">
        <v>42</v>
      </c>
      <c r="AJ192" t="s">
        <v>43</v>
      </c>
      <c r="AL192">
        <v>17450</v>
      </c>
      <c r="AN192">
        <v>1</v>
      </c>
      <c r="AP192">
        <v>20000</v>
      </c>
      <c r="AR192">
        <v>20000</v>
      </c>
      <c r="AT192" t="s">
        <v>64</v>
      </c>
      <c r="AU192" t="str">
        <f t="shared" si="2"/>
        <v>Omset lainnya</v>
      </c>
    </row>
    <row r="193" spans="2:47" ht="23.1" customHeight="1">
      <c r="B193" s="9">
        <v>46242</v>
      </c>
      <c r="D193" t="s">
        <v>154</v>
      </c>
      <c r="F193" t="s">
        <v>155</v>
      </c>
      <c r="H193" s="9">
        <v>46235</v>
      </c>
      <c r="J193" t="s">
        <v>27</v>
      </c>
      <c r="L193" t="s">
        <v>156</v>
      </c>
      <c r="N193" t="s">
        <v>157</v>
      </c>
      <c r="P193" t="s">
        <v>64</v>
      </c>
      <c r="R193" t="s">
        <v>31</v>
      </c>
      <c r="T193" t="s">
        <v>41</v>
      </c>
      <c r="V193" t="s">
        <v>86</v>
      </c>
      <c r="X193" t="s">
        <v>86</v>
      </c>
      <c r="Z193" t="s">
        <v>57</v>
      </c>
      <c r="AB193" t="s">
        <v>95</v>
      </c>
      <c r="AD193" t="s">
        <v>65</v>
      </c>
      <c r="AF193" t="s">
        <v>158</v>
      </c>
      <c r="AH193" t="s">
        <v>42</v>
      </c>
      <c r="AJ193" t="s">
        <v>43</v>
      </c>
      <c r="AL193">
        <v>17450</v>
      </c>
      <c r="AN193">
        <v>1</v>
      </c>
      <c r="AP193">
        <v>20000</v>
      </c>
      <c r="AR193">
        <v>20000</v>
      </c>
      <c r="AU193" t="str">
        <f t="shared" si="2"/>
        <v>Omset lainnya</v>
      </c>
    </row>
    <row r="194" spans="2:47" ht="23.1" customHeight="1">
      <c r="B194" s="9">
        <v>46242</v>
      </c>
      <c r="D194" t="s">
        <v>497</v>
      </c>
      <c r="F194" t="s">
        <v>498</v>
      </c>
      <c r="H194" s="9">
        <v>46242</v>
      </c>
      <c r="J194" t="s">
        <v>54</v>
      </c>
      <c r="L194" t="s">
        <v>499</v>
      </c>
      <c r="N194" t="s">
        <v>500</v>
      </c>
      <c r="P194" t="s">
        <v>57</v>
      </c>
      <c r="R194" t="s">
        <v>31</v>
      </c>
      <c r="T194" t="s">
        <v>32</v>
      </c>
      <c r="V194" t="s">
        <v>33</v>
      </c>
      <c r="X194" t="s">
        <v>33</v>
      </c>
      <c r="Z194" t="s">
        <v>57</v>
      </c>
      <c r="AB194" t="s">
        <v>35</v>
      </c>
      <c r="AD194" t="s">
        <v>65</v>
      </c>
      <c r="AF194" t="s">
        <v>501</v>
      </c>
      <c r="AH194" t="s">
        <v>38</v>
      </c>
      <c r="AJ194" t="s">
        <v>39</v>
      </c>
      <c r="AL194">
        <v>0</v>
      </c>
      <c r="AN194">
        <v>1</v>
      </c>
      <c r="AP194">
        <v>124500</v>
      </c>
      <c r="AR194">
        <v>124500</v>
      </c>
      <c r="AT194" t="s">
        <v>57</v>
      </c>
      <c r="AU194" t="str">
        <f t="shared" ref="AU194:AU257" si="3">_xlfn.IFS(ISNUMBER(SEARCH("Interface", AJ194)), "Omset Interface", ISNUMBER(SEARCH("Normal", AJ194)), "Omset Normal", ISNUMBER(SEARCH("Mati Total", AJ194)), "Omset Mati Total", ISNUMBER(SEARCH("Promo", AJ194)), "Omset Promo", TRUE, "Omset lainnya")</f>
        <v>Omset Interface</v>
      </c>
    </row>
    <row r="195" spans="2:47" ht="23.1" customHeight="1">
      <c r="B195" s="9">
        <v>46242</v>
      </c>
      <c r="D195" t="s">
        <v>497</v>
      </c>
      <c r="F195" t="s">
        <v>498</v>
      </c>
      <c r="H195" s="9">
        <v>46242</v>
      </c>
      <c r="J195" t="s">
        <v>54</v>
      </c>
      <c r="L195" t="s">
        <v>499</v>
      </c>
      <c r="N195" t="s">
        <v>500</v>
      </c>
      <c r="P195" t="s">
        <v>57</v>
      </c>
      <c r="R195" t="s">
        <v>31</v>
      </c>
      <c r="T195" t="s">
        <v>41</v>
      </c>
      <c r="V195" t="s">
        <v>33</v>
      </c>
      <c r="X195" t="s">
        <v>33</v>
      </c>
      <c r="Z195" t="s">
        <v>57</v>
      </c>
      <c r="AB195" t="s">
        <v>35</v>
      </c>
      <c r="AD195" t="s">
        <v>65</v>
      </c>
      <c r="AF195" t="s">
        <v>501</v>
      </c>
      <c r="AH195" t="s">
        <v>42</v>
      </c>
      <c r="AJ195" t="s">
        <v>43</v>
      </c>
      <c r="AL195">
        <v>17450</v>
      </c>
      <c r="AN195">
        <v>1</v>
      </c>
      <c r="AP195">
        <v>20000</v>
      </c>
      <c r="AR195">
        <v>20000</v>
      </c>
      <c r="AT195" t="s">
        <v>57</v>
      </c>
      <c r="AU195" t="str">
        <f t="shared" si="3"/>
        <v>Omset lainnya</v>
      </c>
    </row>
    <row r="196" spans="2:47" ht="23.1" customHeight="1">
      <c r="B196" s="9">
        <v>46242</v>
      </c>
      <c r="D196" t="s">
        <v>564</v>
      </c>
      <c r="F196" t="s">
        <v>565</v>
      </c>
      <c r="H196" s="9">
        <v>46240</v>
      </c>
      <c r="J196" t="s">
        <v>27</v>
      </c>
      <c r="L196" t="s">
        <v>566</v>
      </c>
      <c r="N196" t="s">
        <v>567</v>
      </c>
      <c r="P196" t="s">
        <v>64</v>
      </c>
      <c r="R196" t="s">
        <v>31</v>
      </c>
      <c r="T196" t="s">
        <v>41</v>
      </c>
      <c r="V196" t="s">
        <v>49</v>
      </c>
      <c r="X196" t="s">
        <v>49</v>
      </c>
      <c r="Z196" t="s">
        <v>64</v>
      </c>
      <c r="AB196" t="s">
        <v>35</v>
      </c>
      <c r="AD196" t="s">
        <v>568</v>
      </c>
      <c r="AF196" t="s">
        <v>569</v>
      </c>
      <c r="AH196" t="s">
        <v>315</v>
      </c>
      <c r="AJ196" t="s">
        <v>316</v>
      </c>
      <c r="AL196">
        <v>13943</v>
      </c>
      <c r="AN196">
        <v>1</v>
      </c>
      <c r="AP196">
        <v>20000</v>
      </c>
      <c r="AR196">
        <v>20000</v>
      </c>
      <c r="AT196" t="s">
        <v>64</v>
      </c>
      <c r="AU196" t="str">
        <f t="shared" si="3"/>
        <v>Omset lainnya</v>
      </c>
    </row>
    <row r="197" spans="2:47" ht="23.1" customHeight="1">
      <c r="B197" s="9">
        <v>46242</v>
      </c>
      <c r="D197" t="s">
        <v>564</v>
      </c>
      <c r="F197" t="s">
        <v>565</v>
      </c>
      <c r="H197" s="9">
        <v>46240</v>
      </c>
      <c r="J197" t="s">
        <v>27</v>
      </c>
      <c r="L197" t="s">
        <v>566</v>
      </c>
      <c r="N197" t="s">
        <v>567</v>
      </c>
      <c r="P197" t="s">
        <v>64</v>
      </c>
      <c r="R197" t="s">
        <v>31</v>
      </c>
      <c r="T197" t="s">
        <v>32</v>
      </c>
      <c r="V197" t="s">
        <v>49</v>
      </c>
      <c r="X197" t="s">
        <v>49</v>
      </c>
      <c r="Z197" t="s">
        <v>64</v>
      </c>
      <c r="AB197" t="s">
        <v>35</v>
      </c>
      <c r="AD197" t="s">
        <v>568</v>
      </c>
      <c r="AF197" t="s">
        <v>569</v>
      </c>
      <c r="AH197" t="s">
        <v>38</v>
      </c>
      <c r="AJ197" t="s">
        <v>39</v>
      </c>
      <c r="AL197">
        <v>0</v>
      </c>
      <c r="AN197">
        <v>1</v>
      </c>
      <c r="AP197">
        <v>110000</v>
      </c>
      <c r="AR197">
        <v>110000</v>
      </c>
      <c r="AT197" t="s">
        <v>64</v>
      </c>
      <c r="AU197" t="str">
        <f t="shared" si="3"/>
        <v>Omset Interface</v>
      </c>
    </row>
    <row r="198" spans="2:47" ht="23.1" customHeight="1">
      <c r="B198" s="9">
        <v>46239</v>
      </c>
      <c r="D198" t="s">
        <v>572</v>
      </c>
      <c r="F198" t="s">
        <v>573</v>
      </c>
      <c r="H198" s="9">
        <v>46239</v>
      </c>
      <c r="J198" t="s">
        <v>27</v>
      </c>
      <c r="L198" t="s">
        <v>574</v>
      </c>
      <c r="N198" t="s">
        <v>575</v>
      </c>
      <c r="P198" t="s">
        <v>77</v>
      </c>
      <c r="R198" t="s">
        <v>31</v>
      </c>
      <c r="T198" t="s">
        <v>32</v>
      </c>
      <c r="V198" t="s">
        <v>49</v>
      </c>
      <c r="X198" t="s">
        <v>49</v>
      </c>
      <c r="Z198" t="s">
        <v>77</v>
      </c>
      <c r="AB198" t="s">
        <v>576</v>
      </c>
      <c r="AD198" t="s">
        <v>65</v>
      </c>
      <c r="AF198" t="s">
        <v>577</v>
      </c>
      <c r="AH198" t="s">
        <v>585</v>
      </c>
      <c r="AJ198" t="s">
        <v>586</v>
      </c>
      <c r="AL198">
        <v>0</v>
      </c>
      <c r="AN198">
        <v>1</v>
      </c>
      <c r="AP198">
        <v>150000</v>
      </c>
      <c r="AR198">
        <v>150000</v>
      </c>
      <c r="AU198" t="str">
        <f t="shared" si="3"/>
        <v>Omset Mati Total</v>
      </c>
    </row>
    <row r="199" spans="2:47" ht="23.1" customHeight="1">
      <c r="B199" s="9">
        <v>46239</v>
      </c>
      <c r="D199" t="s">
        <v>572</v>
      </c>
      <c r="F199" t="s">
        <v>573</v>
      </c>
      <c r="H199" s="9">
        <v>46239</v>
      </c>
      <c r="J199" t="s">
        <v>27</v>
      </c>
      <c r="L199" t="s">
        <v>574</v>
      </c>
      <c r="N199" t="s">
        <v>575</v>
      </c>
      <c r="P199" t="s">
        <v>77</v>
      </c>
      <c r="R199" t="s">
        <v>31</v>
      </c>
      <c r="T199" t="s">
        <v>41</v>
      </c>
      <c r="V199" t="s">
        <v>49</v>
      </c>
      <c r="X199" t="s">
        <v>49</v>
      </c>
      <c r="Z199" t="s">
        <v>77</v>
      </c>
      <c r="AB199" t="s">
        <v>576</v>
      </c>
      <c r="AD199" t="s">
        <v>65</v>
      </c>
      <c r="AF199" t="s">
        <v>577</v>
      </c>
      <c r="AH199" t="s">
        <v>42</v>
      </c>
      <c r="AJ199" t="s">
        <v>43</v>
      </c>
      <c r="AL199">
        <v>17450</v>
      </c>
      <c r="AN199">
        <v>1</v>
      </c>
      <c r="AP199">
        <v>20000</v>
      </c>
      <c r="AR199">
        <v>20000</v>
      </c>
      <c r="AU199" t="str">
        <f t="shared" si="3"/>
        <v>Omset lainnya</v>
      </c>
    </row>
    <row r="200" spans="2:47" ht="23.1" customHeight="1">
      <c r="B200" s="9">
        <v>46239</v>
      </c>
      <c r="D200" t="s">
        <v>411</v>
      </c>
      <c r="F200" t="s">
        <v>412</v>
      </c>
      <c r="H200" s="9">
        <v>46239</v>
      </c>
      <c r="J200" t="s">
        <v>54</v>
      </c>
      <c r="L200" t="s">
        <v>300</v>
      </c>
      <c r="N200" t="s">
        <v>301</v>
      </c>
      <c r="P200" t="s">
        <v>57</v>
      </c>
      <c r="R200" t="s">
        <v>31</v>
      </c>
      <c r="T200" t="s">
        <v>94</v>
      </c>
      <c r="V200" t="s">
        <v>33</v>
      </c>
      <c r="X200" t="s">
        <v>33</v>
      </c>
      <c r="Z200" t="s">
        <v>57</v>
      </c>
      <c r="AB200" t="s">
        <v>268</v>
      </c>
      <c r="AD200" t="s">
        <v>36</v>
      </c>
      <c r="AF200" t="s">
        <v>413</v>
      </c>
      <c r="AH200" t="s">
        <v>592</v>
      </c>
      <c r="AJ200" t="s">
        <v>593</v>
      </c>
      <c r="AL200">
        <v>5000</v>
      </c>
      <c r="AN200">
        <v>1</v>
      </c>
      <c r="AP200">
        <v>10000</v>
      </c>
      <c r="AR200">
        <v>10000</v>
      </c>
      <c r="AU200" t="str">
        <f t="shared" si="3"/>
        <v>Omset lainnya</v>
      </c>
    </row>
    <row r="201" spans="2:47" ht="23.1" customHeight="1">
      <c r="B201" s="9">
        <v>46242</v>
      </c>
      <c r="D201" t="s">
        <v>456</v>
      </c>
      <c r="F201" t="s">
        <v>457</v>
      </c>
      <c r="H201" s="9">
        <v>46237</v>
      </c>
      <c r="J201" t="s">
        <v>27</v>
      </c>
      <c r="L201" t="s">
        <v>458</v>
      </c>
      <c r="N201" t="s">
        <v>459</v>
      </c>
      <c r="P201" t="s">
        <v>57</v>
      </c>
      <c r="R201" t="s">
        <v>31</v>
      </c>
      <c r="T201" t="s">
        <v>32</v>
      </c>
      <c r="V201" t="s">
        <v>33</v>
      </c>
      <c r="X201" t="s">
        <v>33</v>
      </c>
      <c r="Z201" t="s">
        <v>57</v>
      </c>
      <c r="AB201" t="s">
        <v>95</v>
      </c>
      <c r="AD201" t="s">
        <v>87</v>
      </c>
      <c r="AF201" t="s">
        <v>460</v>
      </c>
      <c r="AH201" t="s">
        <v>38</v>
      </c>
      <c r="AJ201" t="s">
        <v>39</v>
      </c>
      <c r="AL201">
        <v>0</v>
      </c>
      <c r="AN201">
        <v>1</v>
      </c>
      <c r="AP201">
        <v>410000</v>
      </c>
      <c r="AR201">
        <v>410000</v>
      </c>
      <c r="AU201" t="str">
        <f t="shared" si="3"/>
        <v>Omset Interface</v>
      </c>
    </row>
    <row r="202" spans="2:47" ht="23.1" customHeight="1">
      <c r="B202" s="9">
        <v>46240</v>
      </c>
      <c r="D202" t="s">
        <v>100</v>
      </c>
      <c r="F202" t="s">
        <v>101</v>
      </c>
      <c r="H202" s="9">
        <v>46235</v>
      </c>
      <c r="J202" t="s">
        <v>54</v>
      </c>
      <c r="L202" t="s">
        <v>102</v>
      </c>
      <c r="N202" t="s">
        <v>103</v>
      </c>
      <c r="P202" t="s">
        <v>57</v>
      </c>
      <c r="R202" t="s">
        <v>31</v>
      </c>
      <c r="T202" t="s">
        <v>32</v>
      </c>
      <c r="V202" t="s">
        <v>49</v>
      </c>
      <c r="X202" t="s">
        <v>49</v>
      </c>
      <c r="Z202" t="s">
        <v>64</v>
      </c>
      <c r="AB202" t="s">
        <v>95</v>
      </c>
      <c r="AD202" t="s">
        <v>65</v>
      </c>
      <c r="AF202" t="s">
        <v>104</v>
      </c>
      <c r="AH202" t="s">
        <v>114</v>
      </c>
      <c r="AJ202" t="s">
        <v>115</v>
      </c>
      <c r="AL202">
        <v>0</v>
      </c>
      <c r="AN202">
        <v>1</v>
      </c>
      <c r="AP202">
        <v>2150000</v>
      </c>
      <c r="AR202">
        <v>2150000</v>
      </c>
      <c r="AU202" t="str">
        <f t="shared" si="3"/>
        <v>Omset Normal</v>
      </c>
    </row>
    <row r="203" spans="2:47" ht="14.1" customHeight="1">
      <c r="B203" s="9">
        <v>46240</v>
      </c>
      <c r="D203" t="s">
        <v>100</v>
      </c>
      <c r="F203" t="s">
        <v>101</v>
      </c>
      <c r="H203" s="9">
        <v>46235</v>
      </c>
      <c r="J203" t="s">
        <v>54</v>
      </c>
      <c r="L203" t="s">
        <v>102</v>
      </c>
      <c r="N203" t="s">
        <v>103</v>
      </c>
      <c r="P203" t="s">
        <v>57</v>
      </c>
      <c r="R203" t="s">
        <v>31</v>
      </c>
      <c r="T203" t="s">
        <v>41</v>
      </c>
      <c r="V203" t="s">
        <v>49</v>
      </c>
      <c r="X203" t="s">
        <v>49</v>
      </c>
      <c r="Z203" t="s">
        <v>64</v>
      </c>
      <c r="AB203" t="s">
        <v>95</v>
      </c>
      <c r="AD203" t="s">
        <v>65</v>
      </c>
      <c r="AF203" t="s">
        <v>104</v>
      </c>
      <c r="AH203" t="s">
        <v>42</v>
      </c>
      <c r="AJ203" t="s">
        <v>43</v>
      </c>
      <c r="AL203">
        <v>17450</v>
      </c>
      <c r="AN203">
        <v>1</v>
      </c>
      <c r="AP203">
        <v>20000</v>
      </c>
      <c r="AR203">
        <v>20000</v>
      </c>
      <c r="AU203" t="str">
        <f t="shared" si="3"/>
        <v>Omset lainnya</v>
      </c>
    </row>
    <row r="204" spans="2:47" ht="14.1" customHeight="1">
      <c r="B204" s="9">
        <v>46240</v>
      </c>
      <c r="D204" t="s">
        <v>594</v>
      </c>
      <c r="F204" t="s">
        <v>595</v>
      </c>
      <c r="H204" s="9">
        <v>46240</v>
      </c>
      <c r="J204" t="s">
        <v>27</v>
      </c>
      <c r="L204" t="s">
        <v>331</v>
      </c>
      <c r="N204" t="s">
        <v>332</v>
      </c>
      <c r="R204" t="s">
        <v>177</v>
      </c>
      <c r="T204" t="s">
        <v>41</v>
      </c>
      <c r="Z204" t="s">
        <v>310</v>
      </c>
      <c r="AB204" t="s">
        <v>178</v>
      </c>
      <c r="AD204" t="s">
        <v>78</v>
      </c>
      <c r="AF204" t="s">
        <v>596</v>
      </c>
      <c r="AH204" t="s">
        <v>597</v>
      </c>
      <c r="AJ204" t="s">
        <v>598</v>
      </c>
      <c r="AL204">
        <v>99000</v>
      </c>
      <c r="AN204">
        <v>1</v>
      </c>
      <c r="AP204">
        <v>142000</v>
      </c>
      <c r="AR204">
        <v>142000</v>
      </c>
      <c r="AT204" t="s">
        <v>57</v>
      </c>
      <c r="AU204" t="str">
        <f t="shared" si="3"/>
        <v>Omset lainnya</v>
      </c>
    </row>
    <row r="205" spans="2:47" ht="23.1" customHeight="1">
      <c r="B205" s="9">
        <v>46242</v>
      </c>
      <c r="D205" t="s">
        <v>456</v>
      </c>
      <c r="F205" t="s">
        <v>457</v>
      </c>
      <c r="H205" s="9">
        <v>46237</v>
      </c>
      <c r="J205" t="s">
        <v>27</v>
      </c>
      <c r="L205" t="s">
        <v>458</v>
      </c>
      <c r="N205" t="s">
        <v>459</v>
      </c>
      <c r="P205" t="s">
        <v>57</v>
      </c>
      <c r="R205" t="s">
        <v>31</v>
      </c>
      <c r="T205" t="s">
        <v>94</v>
      </c>
      <c r="V205" t="s">
        <v>33</v>
      </c>
      <c r="X205" t="s">
        <v>33</v>
      </c>
      <c r="Z205" t="s">
        <v>57</v>
      </c>
      <c r="AB205" t="s">
        <v>95</v>
      </c>
      <c r="AD205" t="s">
        <v>87</v>
      </c>
      <c r="AF205" t="s">
        <v>460</v>
      </c>
      <c r="AH205" t="s">
        <v>599</v>
      </c>
      <c r="AJ205" t="s">
        <v>600</v>
      </c>
      <c r="AL205">
        <v>35000</v>
      </c>
      <c r="AN205">
        <v>1</v>
      </c>
      <c r="AP205">
        <v>40000</v>
      </c>
      <c r="AR205">
        <v>40000</v>
      </c>
      <c r="AU205" t="str">
        <f t="shared" si="3"/>
        <v>Omset lainnya</v>
      </c>
    </row>
    <row r="206" spans="2:47" ht="23.1" customHeight="1">
      <c r="B206" s="9">
        <v>46241</v>
      </c>
      <c r="D206" t="s">
        <v>527</v>
      </c>
      <c r="F206" t="s">
        <v>528</v>
      </c>
      <c r="H206" s="9">
        <v>46240</v>
      </c>
      <c r="J206" t="s">
        <v>54</v>
      </c>
      <c r="L206" t="s">
        <v>233</v>
      </c>
      <c r="N206" t="s">
        <v>234</v>
      </c>
      <c r="P206" t="s">
        <v>64</v>
      </c>
      <c r="R206" t="s">
        <v>31</v>
      </c>
      <c r="T206" t="s">
        <v>41</v>
      </c>
      <c r="V206" t="s">
        <v>127</v>
      </c>
      <c r="X206" t="s">
        <v>127</v>
      </c>
      <c r="Z206" t="s">
        <v>64</v>
      </c>
      <c r="AB206" t="s">
        <v>111</v>
      </c>
      <c r="AD206" t="s">
        <v>65</v>
      </c>
      <c r="AF206" t="s">
        <v>235</v>
      </c>
      <c r="AH206" t="s">
        <v>42</v>
      </c>
      <c r="AJ206" t="s">
        <v>43</v>
      </c>
      <c r="AL206">
        <v>17450</v>
      </c>
      <c r="AN206">
        <v>1</v>
      </c>
      <c r="AP206">
        <v>20000</v>
      </c>
      <c r="AR206">
        <v>20000</v>
      </c>
      <c r="AU206" t="str">
        <f t="shared" si="3"/>
        <v>Omset lainnya</v>
      </c>
    </row>
    <row r="207" spans="2:47" ht="23.1" customHeight="1">
      <c r="B207" s="9">
        <v>46241</v>
      </c>
      <c r="D207" t="s">
        <v>549</v>
      </c>
      <c r="F207" t="s">
        <v>550</v>
      </c>
      <c r="H207" s="9">
        <v>46241</v>
      </c>
      <c r="J207" t="s">
        <v>54</v>
      </c>
      <c r="L207" t="s">
        <v>551</v>
      </c>
      <c r="N207" t="s">
        <v>552</v>
      </c>
      <c r="P207" t="s">
        <v>77</v>
      </c>
      <c r="R207" t="s">
        <v>31</v>
      </c>
      <c r="T207" t="s">
        <v>32</v>
      </c>
      <c r="V207" t="s">
        <v>127</v>
      </c>
      <c r="X207" t="s">
        <v>127</v>
      </c>
      <c r="Z207" t="s">
        <v>77</v>
      </c>
      <c r="AB207" t="s">
        <v>35</v>
      </c>
      <c r="AD207" t="s">
        <v>36</v>
      </c>
      <c r="AF207" t="s">
        <v>283</v>
      </c>
      <c r="AH207" t="s">
        <v>38</v>
      </c>
      <c r="AJ207" t="s">
        <v>39</v>
      </c>
      <c r="AL207">
        <v>0</v>
      </c>
      <c r="AN207">
        <v>1</v>
      </c>
      <c r="AP207">
        <v>107500</v>
      </c>
      <c r="AR207">
        <v>107500</v>
      </c>
      <c r="AU207" t="str">
        <f t="shared" si="3"/>
        <v>Omset Interface</v>
      </c>
    </row>
    <row r="208" spans="2:47" ht="23.1" customHeight="1">
      <c r="B208" s="9">
        <v>46241</v>
      </c>
      <c r="D208" t="s">
        <v>549</v>
      </c>
      <c r="F208" t="s">
        <v>550</v>
      </c>
      <c r="H208" s="9">
        <v>46241</v>
      </c>
      <c r="J208" t="s">
        <v>54</v>
      </c>
      <c r="L208" t="s">
        <v>551</v>
      </c>
      <c r="N208" t="s">
        <v>552</v>
      </c>
      <c r="P208" t="s">
        <v>77</v>
      </c>
      <c r="R208" t="s">
        <v>31</v>
      </c>
      <c r="T208" t="s">
        <v>41</v>
      </c>
      <c r="V208" t="s">
        <v>127</v>
      </c>
      <c r="X208" t="s">
        <v>127</v>
      </c>
      <c r="Z208" t="s">
        <v>77</v>
      </c>
      <c r="AB208" t="s">
        <v>35</v>
      </c>
      <c r="AD208" t="s">
        <v>36</v>
      </c>
      <c r="AF208" t="s">
        <v>283</v>
      </c>
      <c r="AH208" t="s">
        <v>42</v>
      </c>
      <c r="AJ208" t="s">
        <v>43</v>
      </c>
      <c r="AL208">
        <v>17450</v>
      </c>
      <c r="AN208">
        <v>1</v>
      </c>
      <c r="AP208">
        <v>20000</v>
      </c>
      <c r="AR208">
        <v>20000</v>
      </c>
      <c r="AU208" t="str">
        <f t="shared" si="3"/>
        <v>Omset lainnya</v>
      </c>
    </row>
    <row r="209" spans="2:47" ht="23.1" customHeight="1">
      <c r="B209" s="9">
        <v>46241</v>
      </c>
      <c r="D209" t="s">
        <v>555</v>
      </c>
      <c r="F209" t="s">
        <v>556</v>
      </c>
      <c r="H209" s="9">
        <v>46241</v>
      </c>
      <c r="J209" t="s">
        <v>27</v>
      </c>
      <c r="L209" t="s">
        <v>557</v>
      </c>
      <c r="N209" t="s">
        <v>558</v>
      </c>
      <c r="P209" t="s">
        <v>64</v>
      </c>
      <c r="R209" t="s">
        <v>31</v>
      </c>
      <c r="T209" t="s">
        <v>32</v>
      </c>
      <c r="V209" t="s">
        <v>71</v>
      </c>
      <c r="X209" t="s">
        <v>71</v>
      </c>
      <c r="Z209" t="s">
        <v>64</v>
      </c>
      <c r="AB209" t="s">
        <v>35</v>
      </c>
      <c r="AD209" t="s">
        <v>65</v>
      </c>
      <c r="AF209" t="s">
        <v>559</v>
      </c>
      <c r="AH209" t="s">
        <v>38</v>
      </c>
      <c r="AJ209" t="s">
        <v>39</v>
      </c>
      <c r="AL209">
        <v>0</v>
      </c>
      <c r="AN209">
        <v>1</v>
      </c>
      <c r="AP209">
        <v>119000</v>
      </c>
      <c r="AR209">
        <v>119000</v>
      </c>
      <c r="AT209" t="s">
        <v>64</v>
      </c>
      <c r="AU209" t="str">
        <f t="shared" si="3"/>
        <v>Omset Interface</v>
      </c>
    </row>
    <row r="210" spans="2:47" ht="23.1" customHeight="1">
      <c r="B210" s="9">
        <v>46241</v>
      </c>
      <c r="D210" t="s">
        <v>555</v>
      </c>
      <c r="F210" t="s">
        <v>556</v>
      </c>
      <c r="H210" s="9">
        <v>46241</v>
      </c>
      <c r="J210" t="s">
        <v>27</v>
      </c>
      <c r="L210" t="s">
        <v>557</v>
      </c>
      <c r="N210" t="s">
        <v>558</v>
      </c>
      <c r="P210" t="s">
        <v>64</v>
      </c>
      <c r="R210" t="s">
        <v>31</v>
      </c>
      <c r="T210" t="s">
        <v>41</v>
      </c>
      <c r="V210" t="s">
        <v>71</v>
      </c>
      <c r="X210" t="s">
        <v>71</v>
      </c>
      <c r="Z210" t="s">
        <v>64</v>
      </c>
      <c r="AB210" t="s">
        <v>35</v>
      </c>
      <c r="AD210" t="s">
        <v>65</v>
      </c>
      <c r="AF210" t="s">
        <v>559</v>
      </c>
      <c r="AH210" t="s">
        <v>42</v>
      </c>
      <c r="AJ210" t="s">
        <v>43</v>
      </c>
      <c r="AL210">
        <v>17450</v>
      </c>
      <c r="AN210">
        <v>1</v>
      </c>
      <c r="AP210">
        <v>20000</v>
      </c>
      <c r="AR210">
        <v>20000</v>
      </c>
      <c r="AT210" t="s">
        <v>64</v>
      </c>
      <c r="AU210" t="str">
        <f t="shared" si="3"/>
        <v>Omset lainnya</v>
      </c>
    </row>
    <row r="211" spans="2:47" ht="23.1" customHeight="1">
      <c r="B211" s="9">
        <v>46241</v>
      </c>
      <c r="D211" t="s">
        <v>478</v>
      </c>
      <c r="F211" t="s">
        <v>479</v>
      </c>
      <c r="H211" s="9">
        <v>46240</v>
      </c>
      <c r="J211" t="s">
        <v>27</v>
      </c>
      <c r="L211" t="s">
        <v>480</v>
      </c>
      <c r="N211" t="s">
        <v>481</v>
      </c>
      <c r="P211" t="s">
        <v>64</v>
      </c>
      <c r="R211" t="s">
        <v>31</v>
      </c>
      <c r="T211" t="s">
        <v>41</v>
      </c>
      <c r="V211" t="s">
        <v>71</v>
      </c>
      <c r="X211" t="s">
        <v>71</v>
      </c>
      <c r="Z211" t="s">
        <v>64</v>
      </c>
      <c r="AB211" t="s">
        <v>35</v>
      </c>
      <c r="AD211" t="s">
        <v>65</v>
      </c>
      <c r="AF211" t="s">
        <v>482</v>
      </c>
      <c r="AH211" t="s">
        <v>42</v>
      </c>
      <c r="AJ211" t="s">
        <v>43</v>
      </c>
      <c r="AL211">
        <v>17450</v>
      </c>
      <c r="AN211">
        <v>1</v>
      </c>
      <c r="AP211">
        <v>20000</v>
      </c>
      <c r="AR211">
        <v>20000</v>
      </c>
      <c r="AT211" t="s">
        <v>64</v>
      </c>
      <c r="AU211" t="str">
        <f t="shared" si="3"/>
        <v>Omset lainnya</v>
      </c>
    </row>
    <row r="212" spans="2:47" ht="23.1" customHeight="1">
      <c r="B212" s="9">
        <v>46241</v>
      </c>
      <c r="D212" t="s">
        <v>531</v>
      </c>
      <c r="F212" t="s">
        <v>532</v>
      </c>
      <c r="H212" s="9">
        <v>46241</v>
      </c>
      <c r="J212" t="s">
        <v>27</v>
      </c>
      <c r="L212" t="s">
        <v>533</v>
      </c>
      <c r="N212" t="s">
        <v>534</v>
      </c>
      <c r="P212" t="s">
        <v>64</v>
      </c>
      <c r="R212" t="s">
        <v>31</v>
      </c>
      <c r="T212" t="s">
        <v>94</v>
      </c>
      <c r="V212" t="s">
        <v>86</v>
      </c>
      <c r="X212" t="s">
        <v>86</v>
      </c>
      <c r="Z212" t="s">
        <v>64</v>
      </c>
      <c r="AB212" t="s">
        <v>35</v>
      </c>
      <c r="AD212" t="s">
        <v>50</v>
      </c>
      <c r="AF212" t="s">
        <v>494</v>
      </c>
      <c r="AH212" t="s">
        <v>601</v>
      </c>
      <c r="AJ212" t="s">
        <v>602</v>
      </c>
      <c r="AL212">
        <v>123500</v>
      </c>
      <c r="AN212">
        <v>1</v>
      </c>
      <c r="AP212">
        <v>137000</v>
      </c>
      <c r="AR212">
        <v>137000</v>
      </c>
      <c r="AT212" t="s">
        <v>64</v>
      </c>
      <c r="AU212" t="str">
        <f t="shared" si="3"/>
        <v>Omset lainnya</v>
      </c>
    </row>
    <row r="213" spans="2:47" ht="23.1" customHeight="1">
      <c r="B213" s="9">
        <v>46241</v>
      </c>
      <c r="D213" t="s">
        <v>468</v>
      </c>
      <c r="F213" t="s">
        <v>469</v>
      </c>
      <c r="H213" s="9">
        <v>46241</v>
      </c>
      <c r="J213" t="s">
        <v>27</v>
      </c>
      <c r="L213" t="s">
        <v>470</v>
      </c>
      <c r="N213" t="s">
        <v>471</v>
      </c>
      <c r="P213" t="s">
        <v>64</v>
      </c>
      <c r="R213" t="s">
        <v>31</v>
      </c>
      <c r="T213" t="s">
        <v>94</v>
      </c>
      <c r="V213" t="s">
        <v>71</v>
      </c>
      <c r="X213" t="s">
        <v>71</v>
      </c>
      <c r="Z213" t="s">
        <v>64</v>
      </c>
      <c r="AB213" t="s">
        <v>268</v>
      </c>
      <c r="AD213" t="s">
        <v>58</v>
      </c>
      <c r="AF213" t="s">
        <v>472</v>
      </c>
      <c r="AH213" t="s">
        <v>603</v>
      </c>
      <c r="AJ213" t="s">
        <v>604</v>
      </c>
      <c r="AL213">
        <v>133000</v>
      </c>
      <c r="AN213">
        <v>1</v>
      </c>
      <c r="AP213">
        <v>147000</v>
      </c>
      <c r="AR213">
        <v>147000</v>
      </c>
      <c r="AT213" t="s">
        <v>64</v>
      </c>
      <c r="AU213" t="str">
        <f t="shared" si="3"/>
        <v>Omset lainnya</v>
      </c>
    </row>
    <row r="214" spans="2:47" ht="23.1" customHeight="1">
      <c r="B214" s="9">
        <v>46242</v>
      </c>
      <c r="D214" t="s">
        <v>605</v>
      </c>
      <c r="F214" t="s">
        <v>606</v>
      </c>
      <c r="H214" s="9">
        <v>46242</v>
      </c>
      <c r="J214" t="s">
        <v>27</v>
      </c>
      <c r="L214" t="s">
        <v>437</v>
      </c>
      <c r="N214" t="s">
        <v>438</v>
      </c>
      <c r="P214" t="s">
        <v>64</v>
      </c>
      <c r="R214" t="s">
        <v>177</v>
      </c>
      <c r="T214" t="s">
        <v>41</v>
      </c>
      <c r="Z214" t="s">
        <v>64</v>
      </c>
      <c r="AB214" t="s">
        <v>178</v>
      </c>
      <c r="AD214" t="s">
        <v>65</v>
      </c>
      <c r="AF214" t="s">
        <v>607</v>
      </c>
      <c r="AH214" t="s">
        <v>315</v>
      </c>
      <c r="AJ214" t="s">
        <v>316</v>
      </c>
      <c r="AL214">
        <v>13943</v>
      </c>
      <c r="AN214">
        <v>1</v>
      </c>
      <c r="AP214">
        <v>75000</v>
      </c>
      <c r="AR214">
        <v>75000</v>
      </c>
      <c r="AT214" t="s">
        <v>77</v>
      </c>
      <c r="AU214" t="str">
        <f t="shared" si="3"/>
        <v>Omset lainnya</v>
      </c>
    </row>
    <row r="215" spans="2:47" ht="23.1" customHeight="1">
      <c r="B215" s="9">
        <v>46242</v>
      </c>
      <c r="D215" t="s">
        <v>608</v>
      </c>
      <c r="F215" t="s">
        <v>609</v>
      </c>
      <c r="H215" s="9">
        <v>46242</v>
      </c>
      <c r="J215" t="s">
        <v>27</v>
      </c>
      <c r="L215" t="s">
        <v>437</v>
      </c>
      <c r="N215" t="s">
        <v>438</v>
      </c>
      <c r="P215" t="s">
        <v>64</v>
      </c>
      <c r="R215" t="s">
        <v>31</v>
      </c>
      <c r="T215" t="s">
        <v>32</v>
      </c>
      <c r="V215" t="s">
        <v>49</v>
      </c>
      <c r="X215" t="s">
        <v>49</v>
      </c>
      <c r="Z215" t="s">
        <v>64</v>
      </c>
      <c r="AB215" t="s">
        <v>268</v>
      </c>
      <c r="AD215" t="s">
        <v>87</v>
      </c>
      <c r="AF215" t="s">
        <v>610</v>
      </c>
      <c r="AH215" t="s">
        <v>270</v>
      </c>
      <c r="AJ215" t="s">
        <v>271</v>
      </c>
      <c r="AL215">
        <v>0</v>
      </c>
      <c r="AN215">
        <v>1</v>
      </c>
      <c r="AP215">
        <v>107500</v>
      </c>
      <c r="AR215">
        <v>107500</v>
      </c>
      <c r="AT215" t="s">
        <v>77</v>
      </c>
      <c r="AU215" t="str">
        <f t="shared" si="3"/>
        <v>Omset Interface</v>
      </c>
    </row>
    <row r="216" spans="2:47" ht="23.1" customHeight="1">
      <c r="B216" s="9">
        <v>46242</v>
      </c>
      <c r="D216" t="s">
        <v>608</v>
      </c>
      <c r="F216" t="s">
        <v>609</v>
      </c>
      <c r="H216" s="9">
        <v>46242</v>
      </c>
      <c r="J216" t="s">
        <v>27</v>
      </c>
      <c r="L216" t="s">
        <v>437</v>
      </c>
      <c r="N216" t="s">
        <v>438</v>
      </c>
      <c r="P216" t="s">
        <v>64</v>
      </c>
      <c r="R216" t="s">
        <v>31</v>
      </c>
      <c r="T216" t="s">
        <v>41</v>
      </c>
      <c r="V216" t="s">
        <v>49</v>
      </c>
      <c r="X216" t="s">
        <v>49</v>
      </c>
      <c r="Z216" t="s">
        <v>64</v>
      </c>
      <c r="AB216" t="s">
        <v>268</v>
      </c>
      <c r="AD216" t="s">
        <v>87</v>
      </c>
      <c r="AF216" t="s">
        <v>610</v>
      </c>
      <c r="AH216" t="s">
        <v>296</v>
      </c>
      <c r="AJ216" t="s">
        <v>297</v>
      </c>
      <c r="AL216">
        <v>19300</v>
      </c>
      <c r="AN216">
        <v>1</v>
      </c>
      <c r="AP216">
        <v>20000</v>
      </c>
      <c r="AR216">
        <v>20000</v>
      </c>
      <c r="AT216" t="s">
        <v>77</v>
      </c>
      <c r="AU216" t="str">
        <f t="shared" si="3"/>
        <v>Omset lainnya</v>
      </c>
    </row>
    <row r="217" spans="2:47" ht="23.1" customHeight="1">
      <c r="B217" s="9">
        <v>46242</v>
      </c>
      <c r="D217" t="s">
        <v>611</v>
      </c>
      <c r="F217" t="s">
        <v>612</v>
      </c>
      <c r="H217" s="9">
        <v>46242</v>
      </c>
      <c r="J217" t="s">
        <v>27</v>
      </c>
      <c r="L217" t="s">
        <v>613</v>
      </c>
      <c r="N217" t="s">
        <v>614</v>
      </c>
      <c r="P217" t="s">
        <v>64</v>
      </c>
      <c r="R217" t="s">
        <v>177</v>
      </c>
      <c r="T217" t="s">
        <v>41</v>
      </c>
      <c r="Z217" t="s">
        <v>64</v>
      </c>
      <c r="AB217" t="s">
        <v>178</v>
      </c>
      <c r="AD217" t="s">
        <v>87</v>
      </c>
      <c r="AF217" t="s">
        <v>615</v>
      </c>
      <c r="AH217" t="s">
        <v>616</v>
      </c>
      <c r="AJ217" t="s">
        <v>617</v>
      </c>
      <c r="AL217">
        <v>59000</v>
      </c>
      <c r="AN217">
        <v>1</v>
      </c>
      <c r="AP217">
        <v>76000</v>
      </c>
      <c r="AR217">
        <v>76000</v>
      </c>
      <c r="AT217" t="s">
        <v>64</v>
      </c>
      <c r="AU217" t="str">
        <f t="shared" si="3"/>
        <v>Omset lainnya</v>
      </c>
    </row>
    <row r="218" spans="2:47" ht="23.1" customHeight="1">
      <c r="B218" s="9">
        <v>46242</v>
      </c>
      <c r="D218" t="s">
        <v>611</v>
      </c>
      <c r="F218" t="s">
        <v>612</v>
      </c>
      <c r="H218" s="9">
        <v>46242</v>
      </c>
      <c r="J218" t="s">
        <v>27</v>
      </c>
      <c r="L218" t="s">
        <v>613</v>
      </c>
      <c r="N218" t="s">
        <v>614</v>
      </c>
      <c r="P218" t="s">
        <v>64</v>
      </c>
      <c r="R218" t="s">
        <v>177</v>
      </c>
      <c r="T218" t="s">
        <v>41</v>
      </c>
      <c r="Z218" t="s">
        <v>64</v>
      </c>
      <c r="AB218" t="s">
        <v>178</v>
      </c>
      <c r="AD218" t="s">
        <v>87</v>
      </c>
      <c r="AF218" t="s">
        <v>615</v>
      </c>
      <c r="AH218" t="s">
        <v>618</v>
      </c>
      <c r="AJ218" t="s">
        <v>619</v>
      </c>
      <c r="AL218">
        <v>79000</v>
      </c>
      <c r="AN218">
        <v>1</v>
      </c>
      <c r="AP218">
        <v>115000</v>
      </c>
      <c r="AR218">
        <v>115000</v>
      </c>
      <c r="AT218" t="s">
        <v>64</v>
      </c>
      <c r="AU218" t="str">
        <f t="shared" si="3"/>
        <v>Omset lainnya</v>
      </c>
    </row>
    <row r="219" spans="2:47" ht="23.1" customHeight="1">
      <c r="B219" s="9">
        <v>46242</v>
      </c>
      <c r="D219" t="s">
        <v>490</v>
      </c>
      <c r="F219" t="s">
        <v>491</v>
      </c>
      <c r="H219" s="9">
        <v>46242</v>
      </c>
      <c r="J219" t="s">
        <v>27</v>
      </c>
      <c r="L219" t="s">
        <v>492</v>
      </c>
      <c r="N219" t="s">
        <v>493</v>
      </c>
      <c r="P219" t="s">
        <v>64</v>
      </c>
      <c r="R219" t="s">
        <v>31</v>
      </c>
      <c r="T219" t="s">
        <v>32</v>
      </c>
      <c r="V219" t="s">
        <v>127</v>
      </c>
      <c r="X219" t="s">
        <v>127</v>
      </c>
      <c r="Z219" t="s">
        <v>64</v>
      </c>
      <c r="AB219" t="s">
        <v>35</v>
      </c>
      <c r="AD219" t="s">
        <v>50</v>
      </c>
      <c r="AF219" t="s">
        <v>494</v>
      </c>
      <c r="AH219" t="s">
        <v>38</v>
      </c>
      <c r="AJ219" t="s">
        <v>39</v>
      </c>
      <c r="AL219">
        <v>0</v>
      </c>
      <c r="AN219">
        <v>1</v>
      </c>
      <c r="AP219">
        <v>113500</v>
      </c>
      <c r="AR219">
        <v>113500</v>
      </c>
      <c r="AT219" t="s">
        <v>64</v>
      </c>
      <c r="AU219" t="str">
        <f t="shared" si="3"/>
        <v>Omset Interface</v>
      </c>
    </row>
    <row r="220" spans="2:47" ht="23.1" customHeight="1">
      <c r="B220" s="9">
        <v>46242</v>
      </c>
      <c r="D220" t="s">
        <v>490</v>
      </c>
      <c r="F220" t="s">
        <v>491</v>
      </c>
      <c r="H220" s="9">
        <v>46242</v>
      </c>
      <c r="J220" t="s">
        <v>27</v>
      </c>
      <c r="L220" t="s">
        <v>492</v>
      </c>
      <c r="N220" t="s">
        <v>493</v>
      </c>
      <c r="P220" t="s">
        <v>64</v>
      </c>
      <c r="R220" t="s">
        <v>31</v>
      </c>
      <c r="T220" t="s">
        <v>41</v>
      </c>
      <c r="V220" t="s">
        <v>127</v>
      </c>
      <c r="X220" t="s">
        <v>127</v>
      </c>
      <c r="Z220" t="s">
        <v>64</v>
      </c>
      <c r="AB220" t="s">
        <v>35</v>
      </c>
      <c r="AD220" t="s">
        <v>50</v>
      </c>
      <c r="AF220" t="s">
        <v>494</v>
      </c>
      <c r="AH220" t="s">
        <v>42</v>
      </c>
      <c r="AJ220" t="s">
        <v>43</v>
      </c>
      <c r="AL220">
        <v>17450</v>
      </c>
      <c r="AN220">
        <v>1</v>
      </c>
      <c r="AP220">
        <v>20000</v>
      </c>
      <c r="AR220">
        <v>20000</v>
      </c>
      <c r="AT220" t="s">
        <v>64</v>
      </c>
      <c r="AU220" t="str">
        <f t="shared" si="3"/>
        <v>Omset lainnya</v>
      </c>
    </row>
    <row r="221" spans="2:47" ht="23.1" customHeight="1">
      <c r="B221" s="9">
        <v>46242</v>
      </c>
      <c r="D221" t="s">
        <v>445</v>
      </c>
      <c r="F221" t="s">
        <v>446</v>
      </c>
      <c r="H221" s="9">
        <v>46240</v>
      </c>
      <c r="J221" t="s">
        <v>27</v>
      </c>
      <c r="L221" t="s">
        <v>447</v>
      </c>
      <c r="N221" t="s">
        <v>448</v>
      </c>
      <c r="P221" t="s">
        <v>77</v>
      </c>
      <c r="R221" t="s">
        <v>31</v>
      </c>
      <c r="T221" t="s">
        <v>32</v>
      </c>
      <c r="V221" t="s">
        <v>49</v>
      </c>
      <c r="X221" t="s">
        <v>49</v>
      </c>
      <c r="Z221" t="s">
        <v>57</v>
      </c>
      <c r="AB221" t="s">
        <v>35</v>
      </c>
      <c r="AD221" t="s">
        <v>58</v>
      </c>
      <c r="AF221" t="s">
        <v>449</v>
      </c>
      <c r="AH221" t="s">
        <v>38</v>
      </c>
      <c r="AJ221" t="s">
        <v>39</v>
      </c>
      <c r="AL221">
        <v>0</v>
      </c>
      <c r="AN221">
        <v>1</v>
      </c>
      <c r="AP221">
        <v>175000</v>
      </c>
      <c r="AR221">
        <v>175000</v>
      </c>
      <c r="AU221" t="str">
        <f t="shared" si="3"/>
        <v>Omset Interface</v>
      </c>
    </row>
    <row r="222" spans="2:47" ht="23.1" customHeight="1">
      <c r="B222" s="9">
        <v>46242</v>
      </c>
      <c r="D222" t="s">
        <v>445</v>
      </c>
      <c r="F222" t="s">
        <v>446</v>
      </c>
      <c r="H222" s="9">
        <v>46240</v>
      </c>
      <c r="J222" t="s">
        <v>27</v>
      </c>
      <c r="L222" t="s">
        <v>447</v>
      </c>
      <c r="N222" t="s">
        <v>448</v>
      </c>
      <c r="P222" t="s">
        <v>77</v>
      </c>
      <c r="R222" t="s">
        <v>31</v>
      </c>
      <c r="T222" t="s">
        <v>32</v>
      </c>
      <c r="V222" t="s">
        <v>49</v>
      </c>
      <c r="X222" t="s">
        <v>49</v>
      </c>
      <c r="Z222" t="s">
        <v>57</v>
      </c>
      <c r="AB222" t="s">
        <v>35</v>
      </c>
      <c r="AD222" t="s">
        <v>58</v>
      </c>
      <c r="AF222" t="s">
        <v>449</v>
      </c>
      <c r="AH222" t="s">
        <v>620</v>
      </c>
      <c r="AJ222" t="s">
        <v>621</v>
      </c>
      <c r="AL222">
        <v>0</v>
      </c>
      <c r="AN222">
        <v>1</v>
      </c>
      <c r="AP222">
        <v>100000</v>
      </c>
      <c r="AR222">
        <v>100000</v>
      </c>
      <c r="AU222" t="str">
        <f t="shared" si="3"/>
        <v>Omset Normal</v>
      </c>
    </row>
    <row r="223" spans="2:47" ht="23.1" customHeight="1">
      <c r="B223" s="9">
        <v>46242</v>
      </c>
      <c r="D223" t="s">
        <v>445</v>
      </c>
      <c r="F223" t="s">
        <v>446</v>
      </c>
      <c r="H223" s="9">
        <v>46240</v>
      </c>
      <c r="J223" t="s">
        <v>27</v>
      </c>
      <c r="L223" t="s">
        <v>447</v>
      </c>
      <c r="N223" t="s">
        <v>448</v>
      </c>
      <c r="P223" t="s">
        <v>77</v>
      </c>
      <c r="R223" t="s">
        <v>31</v>
      </c>
      <c r="T223" t="s">
        <v>41</v>
      </c>
      <c r="V223" t="s">
        <v>49</v>
      </c>
      <c r="X223" t="s">
        <v>49</v>
      </c>
      <c r="Z223" t="s">
        <v>57</v>
      </c>
      <c r="AB223" t="s">
        <v>35</v>
      </c>
      <c r="AD223" t="s">
        <v>58</v>
      </c>
      <c r="AF223" t="s">
        <v>449</v>
      </c>
      <c r="AH223" t="s">
        <v>315</v>
      </c>
      <c r="AJ223" t="s">
        <v>316</v>
      </c>
      <c r="AL223">
        <v>13943</v>
      </c>
      <c r="AN223">
        <v>1</v>
      </c>
      <c r="AP223">
        <v>75000</v>
      </c>
      <c r="AR223">
        <v>75000</v>
      </c>
      <c r="AU223" t="str">
        <f t="shared" si="3"/>
        <v>Omset lainnya</v>
      </c>
    </row>
    <row r="224" spans="2:47" ht="23.1" customHeight="1">
      <c r="B224" s="9">
        <v>46242</v>
      </c>
      <c r="D224" t="s">
        <v>445</v>
      </c>
      <c r="F224" t="s">
        <v>446</v>
      </c>
      <c r="H224" s="9">
        <v>46240</v>
      </c>
      <c r="J224" t="s">
        <v>27</v>
      </c>
      <c r="L224" t="s">
        <v>447</v>
      </c>
      <c r="N224" t="s">
        <v>448</v>
      </c>
      <c r="P224" t="s">
        <v>77</v>
      </c>
      <c r="R224" t="s">
        <v>31</v>
      </c>
      <c r="T224" t="s">
        <v>41</v>
      </c>
      <c r="V224" t="s">
        <v>49</v>
      </c>
      <c r="X224" t="s">
        <v>49</v>
      </c>
      <c r="Z224" t="s">
        <v>57</v>
      </c>
      <c r="AB224" t="s">
        <v>35</v>
      </c>
      <c r="AD224" t="s">
        <v>58</v>
      </c>
      <c r="AF224" t="s">
        <v>449</v>
      </c>
      <c r="AH224" t="s">
        <v>42</v>
      </c>
      <c r="AJ224" t="s">
        <v>43</v>
      </c>
      <c r="AL224">
        <v>17450</v>
      </c>
      <c r="AN224">
        <v>1</v>
      </c>
      <c r="AP224">
        <v>20000</v>
      </c>
      <c r="AR224">
        <v>20000</v>
      </c>
      <c r="AU224" t="str">
        <f t="shared" si="3"/>
        <v>Omset lainnya</v>
      </c>
    </row>
    <row r="225" spans="2:47" ht="23.1" customHeight="1">
      <c r="B225" s="9">
        <v>46242</v>
      </c>
      <c r="D225" t="s">
        <v>622</v>
      </c>
      <c r="F225" t="s">
        <v>623</v>
      </c>
      <c r="H225" s="9">
        <v>46242</v>
      </c>
      <c r="J225" t="s">
        <v>27</v>
      </c>
      <c r="L225" t="s">
        <v>624</v>
      </c>
      <c r="N225" t="s">
        <v>625</v>
      </c>
      <c r="P225" t="s">
        <v>64</v>
      </c>
      <c r="R225" t="s">
        <v>31</v>
      </c>
      <c r="T225" t="s">
        <v>32</v>
      </c>
      <c r="V225" t="s">
        <v>127</v>
      </c>
      <c r="X225" t="s">
        <v>127</v>
      </c>
      <c r="Z225" t="s">
        <v>57</v>
      </c>
      <c r="AB225" t="s">
        <v>35</v>
      </c>
      <c r="AD225" t="s">
        <v>50</v>
      </c>
      <c r="AF225" t="s">
        <v>158</v>
      </c>
      <c r="AH225" t="s">
        <v>38</v>
      </c>
      <c r="AJ225" t="s">
        <v>39</v>
      </c>
      <c r="AL225">
        <v>0</v>
      </c>
      <c r="AN225">
        <v>1</v>
      </c>
      <c r="AP225">
        <v>118500</v>
      </c>
      <c r="AR225">
        <v>118500</v>
      </c>
      <c r="AT225" t="s">
        <v>64</v>
      </c>
      <c r="AU225" t="str">
        <f t="shared" si="3"/>
        <v>Omset Interface</v>
      </c>
    </row>
    <row r="226" spans="2:47" ht="14.1" customHeight="1">
      <c r="B226" s="9">
        <v>46242</v>
      </c>
      <c r="D226" t="s">
        <v>622</v>
      </c>
      <c r="F226" t="s">
        <v>623</v>
      </c>
      <c r="H226" s="9">
        <v>46242</v>
      </c>
      <c r="J226" t="s">
        <v>27</v>
      </c>
      <c r="L226" t="s">
        <v>624</v>
      </c>
      <c r="N226" t="s">
        <v>625</v>
      </c>
      <c r="P226" t="s">
        <v>64</v>
      </c>
      <c r="R226" t="s">
        <v>31</v>
      </c>
      <c r="T226" t="s">
        <v>41</v>
      </c>
      <c r="V226" t="s">
        <v>127</v>
      </c>
      <c r="X226" t="s">
        <v>127</v>
      </c>
      <c r="Z226" t="s">
        <v>57</v>
      </c>
      <c r="AB226" t="s">
        <v>35</v>
      </c>
      <c r="AD226" t="s">
        <v>50</v>
      </c>
      <c r="AF226" t="s">
        <v>158</v>
      </c>
      <c r="AH226" t="s">
        <v>42</v>
      </c>
      <c r="AJ226" t="s">
        <v>43</v>
      </c>
      <c r="AL226">
        <v>17450</v>
      </c>
      <c r="AN226">
        <v>1</v>
      </c>
      <c r="AP226">
        <v>20000</v>
      </c>
      <c r="AR226">
        <v>20000</v>
      </c>
      <c r="AT226" t="s">
        <v>64</v>
      </c>
      <c r="AU226" t="str">
        <f t="shared" si="3"/>
        <v>Omset lainnya</v>
      </c>
    </row>
    <row r="227" spans="2:47" ht="14.1" customHeight="1">
      <c r="B227" s="9">
        <v>46244</v>
      </c>
      <c r="D227" t="s">
        <v>485</v>
      </c>
      <c r="F227" t="s">
        <v>486</v>
      </c>
      <c r="H227" s="9">
        <v>46242</v>
      </c>
      <c r="J227" t="s">
        <v>54</v>
      </c>
      <c r="L227" t="s">
        <v>487</v>
      </c>
      <c r="N227" t="s">
        <v>488</v>
      </c>
      <c r="P227" t="s">
        <v>57</v>
      </c>
      <c r="R227" t="s">
        <v>31</v>
      </c>
      <c r="T227" t="s">
        <v>94</v>
      </c>
      <c r="V227" t="s">
        <v>86</v>
      </c>
      <c r="X227" t="s">
        <v>86</v>
      </c>
      <c r="Z227" t="s">
        <v>64</v>
      </c>
      <c r="AB227" t="s">
        <v>35</v>
      </c>
      <c r="AD227" t="s">
        <v>65</v>
      </c>
      <c r="AF227" t="s">
        <v>489</v>
      </c>
      <c r="AH227" t="s">
        <v>626</v>
      </c>
      <c r="AJ227" t="s">
        <v>627</v>
      </c>
      <c r="AL227">
        <v>169500</v>
      </c>
      <c r="AN227">
        <v>1</v>
      </c>
      <c r="AP227">
        <v>180000</v>
      </c>
      <c r="AR227">
        <v>180000</v>
      </c>
      <c r="AT227" t="s">
        <v>57</v>
      </c>
      <c r="AU227" t="str">
        <f t="shared" si="3"/>
        <v>Omset lainnya</v>
      </c>
    </row>
    <row r="228" spans="2:47" ht="23.1" customHeight="1">
      <c r="B228" s="9">
        <v>46242</v>
      </c>
      <c r="D228" t="s">
        <v>622</v>
      </c>
      <c r="F228" t="s">
        <v>623</v>
      </c>
      <c r="H228" s="9">
        <v>46242</v>
      </c>
      <c r="J228" t="s">
        <v>27</v>
      </c>
      <c r="L228" t="s">
        <v>624</v>
      </c>
      <c r="N228" t="s">
        <v>625</v>
      </c>
      <c r="P228" t="s">
        <v>64</v>
      </c>
      <c r="R228" t="s">
        <v>31</v>
      </c>
      <c r="T228" t="s">
        <v>94</v>
      </c>
      <c r="V228" t="s">
        <v>127</v>
      </c>
      <c r="X228" t="s">
        <v>127</v>
      </c>
      <c r="Z228" t="s">
        <v>57</v>
      </c>
      <c r="AB228" t="s">
        <v>35</v>
      </c>
      <c r="AD228" t="s">
        <v>50</v>
      </c>
      <c r="AF228" t="s">
        <v>158</v>
      </c>
      <c r="AH228" t="s">
        <v>628</v>
      </c>
      <c r="AJ228" t="s">
        <v>629</v>
      </c>
      <c r="AL228">
        <v>128833.333333</v>
      </c>
      <c r="AN228">
        <v>1</v>
      </c>
      <c r="AP228">
        <v>141500</v>
      </c>
      <c r="AR228">
        <v>141500</v>
      </c>
      <c r="AT228" t="s">
        <v>64</v>
      </c>
      <c r="AU228" t="str">
        <f t="shared" si="3"/>
        <v>Omset lainnya</v>
      </c>
    </row>
    <row r="229" spans="2:47" ht="23.1" customHeight="1">
      <c r="B229" s="9">
        <v>46243</v>
      </c>
      <c r="D229" t="s">
        <v>630</v>
      </c>
      <c r="F229" t="s">
        <v>631</v>
      </c>
      <c r="H229" s="9">
        <v>46243</v>
      </c>
      <c r="J229" t="s">
        <v>54</v>
      </c>
      <c r="L229" t="s">
        <v>632</v>
      </c>
      <c r="N229" t="s">
        <v>466</v>
      </c>
      <c r="P229" t="s">
        <v>64</v>
      </c>
      <c r="R229" t="s">
        <v>31</v>
      </c>
      <c r="T229" t="s">
        <v>32</v>
      </c>
      <c r="V229" t="s">
        <v>86</v>
      </c>
      <c r="X229" t="s">
        <v>86</v>
      </c>
      <c r="Z229" t="s">
        <v>64</v>
      </c>
      <c r="AB229" t="s">
        <v>186</v>
      </c>
      <c r="AD229" t="s">
        <v>50</v>
      </c>
      <c r="AF229" t="s">
        <v>633</v>
      </c>
      <c r="AH229" t="s">
        <v>114</v>
      </c>
      <c r="AJ229" t="s">
        <v>115</v>
      </c>
      <c r="AL229">
        <v>0</v>
      </c>
      <c r="AN229">
        <v>1</v>
      </c>
      <c r="AP229">
        <v>100000</v>
      </c>
      <c r="AR229">
        <v>100000</v>
      </c>
      <c r="AT229" t="s">
        <v>64</v>
      </c>
      <c r="AU229" t="str">
        <f t="shared" si="3"/>
        <v>Omset Normal</v>
      </c>
    </row>
    <row r="230" spans="2:47" ht="23.1" customHeight="1">
      <c r="B230" s="9">
        <v>46243</v>
      </c>
      <c r="D230" t="s">
        <v>630</v>
      </c>
      <c r="F230" t="s">
        <v>631</v>
      </c>
      <c r="H230" s="9">
        <v>46243</v>
      </c>
      <c r="J230" t="s">
        <v>54</v>
      </c>
      <c r="L230" t="s">
        <v>632</v>
      </c>
      <c r="N230" t="s">
        <v>466</v>
      </c>
      <c r="P230" t="s">
        <v>64</v>
      </c>
      <c r="R230" t="s">
        <v>31</v>
      </c>
      <c r="T230" t="s">
        <v>41</v>
      </c>
      <c r="V230" t="s">
        <v>86</v>
      </c>
      <c r="X230" t="s">
        <v>86</v>
      </c>
      <c r="Z230" t="s">
        <v>64</v>
      </c>
      <c r="AB230" t="s">
        <v>186</v>
      </c>
      <c r="AD230" t="s">
        <v>50</v>
      </c>
      <c r="AF230" t="s">
        <v>633</v>
      </c>
      <c r="AH230" t="s">
        <v>634</v>
      </c>
      <c r="AJ230" t="s">
        <v>635</v>
      </c>
      <c r="AL230">
        <v>19500</v>
      </c>
      <c r="AN230">
        <v>1</v>
      </c>
      <c r="AP230">
        <v>20000</v>
      </c>
      <c r="AR230">
        <v>20000</v>
      </c>
      <c r="AT230" t="s">
        <v>64</v>
      </c>
      <c r="AU230" t="str">
        <f t="shared" si="3"/>
        <v>Omset lainnya</v>
      </c>
    </row>
    <row r="231" spans="2:47" ht="23.1" customHeight="1">
      <c r="B231" s="9">
        <v>46242</v>
      </c>
      <c r="D231" t="s">
        <v>580</v>
      </c>
      <c r="F231" t="s">
        <v>581</v>
      </c>
      <c r="H231" s="9">
        <v>46242</v>
      </c>
      <c r="J231" t="s">
        <v>27</v>
      </c>
      <c r="L231" t="s">
        <v>582</v>
      </c>
      <c r="N231" t="s">
        <v>583</v>
      </c>
      <c r="P231" t="s">
        <v>64</v>
      </c>
      <c r="R231" t="s">
        <v>31</v>
      </c>
      <c r="T231" t="s">
        <v>94</v>
      </c>
      <c r="V231" t="s">
        <v>71</v>
      </c>
      <c r="X231" t="s">
        <v>71</v>
      </c>
      <c r="Z231" t="s">
        <v>64</v>
      </c>
      <c r="AB231" t="s">
        <v>35</v>
      </c>
      <c r="AD231" t="s">
        <v>58</v>
      </c>
      <c r="AF231" t="s">
        <v>584</v>
      </c>
      <c r="AH231" t="s">
        <v>636</v>
      </c>
      <c r="AJ231" t="s">
        <v>637</v>
      </c>
      <c r="AL231">
        <v>125000</v>
      </c>
      <c r="AN231">
        <v>1</v>
      </c>
      <c r="AP231">
        <v>137500</v>
      </c>
      <c r="AR231">
        <v>137500</v>
      </c>
      <c r="AT231" t="s">
        <v>64</v>
      </c>
      <c r="AU231" t="str">
        <f t="shared" si="3"/>
        <v>Omset lainnya</v>
      </c>
    </row>
    <row r="232" spans="2:47" ht="23.1" customHeight="1">
      <c r="B232" s="9">
        <v>46242</v>
      </c>
      <c r="D232" t="s">
        <v>608</v>
      </c>
      <c r="F232" t="s">
        <v>609</v>
      </c>
      <c r="H232" s="9">
        <v>46242</v>
      </c>
      <c r="J232" t="s">
        <v>27</v>
      </c>
      <c r="L232" t="s">
        <v>437</v>
      </c>
      <c r="N232" t="s">
        <v>438</v>
      </c>
      <c r="P232" t="s">
        <v>64</v>
      </c>
      <c r="R232" t="s">
        <v>31</v>
      </c>
      <c r="T232" t="s">
        <v>94</v>
      </c>
      <c r="V232" t="s">
        <v>49</v>
      </c>
      <c r="X232" t="s">
        <v>49</v>
      </c>
      <c r="Z232" t="s">
        <v>64</v>
      </c>
      <c r="AB232" t="s">
        <v>268</v>
      </c>
      <c r="AD232" t="s">
        <v>87</v>
      </c>
      <c r="AF232" t="s">
        <v>610</v>
      </c>
      <c r="AH232" t="s">
        <v>638</v>
      </c>
      <c r="AJ232" t="s">
        <v>639</v>
      </c>
      <c r="AL232">
        <v>224500</v>
      </c>
      <c r="AN232">
        <v>1</v>
      </c>
      <c r="AP232">
        <v>247500</v>
      </c>
      <c r="AR232">
        <v>247500</v>
      </c>
      <c r="AT232" t="s">
        <v>77</v>
      </c>
      <c r="AU232" t="str">
        <f t="shared" si="3"/>
        <v>Omset lainnya</v>
      </c>
    </row>
    <row r="233" spans="2:47" ht="23.1" customHeight="1">
      <c r="B233" s="9">
        <v>46242</v>
      </c>
      <c r="D233" t="s">
        <v>587</v>
      </c>
      <c r="F233" t="s">
        <v>588</v>
      </c>
      <c r="H233" s="9">
        <v>46242</v>
      </c>
      <c r="J233" t="s">
        <v>27</v>
      </c>
      <c r="L233" t="s">
        <v>589</v>
      </c>
      <c r="N233" t="s">
        <v>590</v>
      </c>
      <c r="P233" t="s">
        <v>64</v>
      </c>
      <c r="R233" t="s">
        <v>31</v>
      </c>
      <c r="T233" t="s">
        <v>94</v>
      </c>
      <c r="V233" t="s">
        <v>49</v>
      </c>
      <c r="X233" t="s">
        <v>49</v>
      </c>
      <c r="Z233" t="s">
        <v>64</v>
      </c>
      <c r="AB233" t="s">
        <v>35</v>
      </c>
      <c r="AD233" t="s">
        <v>65</v>
      </c>
      <c r="AF233" t="s">
        <v>591</v>
      </c>
      <c r="AH233" t="s">
        <v>640</v>
      </c>
      <c r="AJ233" t="s">
        <v>641</v>
      </c>
      <c r="AL233">
        <v>151000</v>
      </c>
      <c r="AN233">
        <v>1</v>
      </c>
      <c r="AP233">
        <v>116100</v>
      </c>
      <c r="AR233">
        <v>116100</v>
      </c>
      <c r="AT233" t="s">
        <v>64</v>
      </c>
      <c r="AU233" t="str">
        <f t="shared" si="3"/>
        <v>Omset lainnya</v>
      </c>
    </row>
    <row r="234" spans="2:47" ht="23.1" customHeight="1">
      <c r="B234" s="9">
        <v>46243</v>
      </c>
      <c r="D234" t="s">
        <v>504</v>
      </c>
      <c r="F234" t="s">
        <v>505</v>
      </c>
      <c r="H234" s="9">
        <v>46242</v>
      </c>
      <c r="J234" t="s">
        <v>54</v>
      </c>
      <c r="L234" t="s">
        <v>506</v>
      </c>
      <c r="N234" t="s">
        <v>507</v>
      </c>
      <c r="P234" t="s">
        <v>77</v>
      </c>
      <c r="R234" t="s">
        <v>31</v>
      </c>
      <c r="T234" t="s">
        <v>94</v>
      </c>
      <c r="V234" t="s">
        <v>127</v>
      </c>
      <c r="X234" t="s">
        <v>127</v>
      </c>
      <c r="Z234" t="s">
        <v>64</v>
      </c>
      <c r="AB234" t="s">
        <v>268</v>
      </c>
      <c r="AD234" t="s">
        <v>36</v>
      </c>
      <c r="AF234" t="s">
        <v>508</v>
      </c>
      <c r="AH234" t="s">
        <v>642</v>
      </c>
      <c r="AJ234" t="s">
        <v>643</v>
      </c>
      <c r="AL234">
        <v>200000</v>
      </c>
      <c r="AN234">
        <v>1</v>
      </c>
      <c r="AP234">
        <v>260000</v>
      </c>
      <c r="AR234">
        <v>260000</v>
      </c>
      <c r="AU234" t="str">
        <f t="shared" si="3"/>
        <v>Omset lainnya</v>
      </c>
    </row>
    <row r="235" spans="2:47" ht="23.1" customHeight="1">
      <c r="B235" s="9">
        <v>46241</v>
      </c>
      <c r="D235" t="s">
        <v>473</v>
      </c>
      <c r="F235" t="s">
        <v>474</v>
      </c>
      <c r="H235" s="9">
        <v>46241</v>
      </c>
      <c r="J235" t="s">
        <v>27</v>
      </c>
      <c r="L235" t="s">
        <v>475</v>
      </c>
      <c r="N235" t="s">
        <v>476</v>
      </c>
      <c r="P235" t="s">
        <v>64</v>
      </c>
      <c r="R235" t="s">
        <v>31</v>
      </c>
      <c r="T235" t="s">
        <v>94</v>
      </c>
      <c r="V235" t="s">
        <v>49</v>
      </c>
      <c r="X235" t="s">
        <v>49</v>
      </c>
      <c r="Z235" t="s">
        <v>64</v>
      </c>
      <c r="AB235" t="s">
        <v>111</v>
      </c>
      <c r="AD235" t="s">
        <v>50</v>
      </c>
      <c r="AF235" t="s">
        <v>477</v>
      </c>
      <c r="AH235" t="s">
        <v>644</v>
      </c>
      <c r="AJ235" t="s">
        <v>645</v>
      </c>
      <c r="AL235">
        <v>25000</v>
      </c>
      <c r="AN235">
        <v>1</v>
      </c>
      <c r="AP235">
        <v>50000</v>
      </c>
      <c r="AR235">
        <v>50000</v>
      </c>
      <c r="AT235" t="s">
        <v>64</v>
      </c>
      <c r="AU235" t="str">
        <f t="shared" si="3"/>
        <v>Omset lainnya</v>
      </c>
    </row>
    <row r="236" spans="2:47" ht="23.1" customHeight="1">
      <c r="B236" s="9">
        <v>46243</v>
      </c>
      <c r="D236" t="s">
        <v>646</v>
      </c>
      <c r="F236" t="s">
        <v>647</v>
      </c>
      <c r="H236" s="9">
        <v>46243</v>
      </c>
      <c r="J236" t="s">
        <v>54</v>
      </c>
      <c r="L236" t="s">
        <v>632</v>
      </c>
      <c r="N236" t="s">
        <v>466</v>
      </c>
      <c r="P236" t="s">
        <v>64</v>
      </c>
      <c r="R236" t="s">
        <v>31</v>
      </c>
      <c r="T236" t="s">
        <v>32</v>
      </c>
      <c r="V236" t="s">
        <v>71</v>
      </c>
      <c r="X236" t="s">
        <v>71</v>
      </c>
      <c r="Z236" t="s">
        <v>64</v>
      </c>
      <c r="AB236" t="s">
        <v>35</v>
      </c>
      <c r="AD236" t="s">
        <v>65</v>
      </c>
      <c r="AF236" t="s">
        <v>501</v>
      </c>
      <c r="AH236" t="s">
        <v>38</v>
      </c>
      <c r="AJ236" t="s">
        <v>39</v>
      </c>
      <c r="AL236">
        <v>0</v>
      </c>
      <c r="AN236">
        <v>1</v>
      </c>
      <c r="AP236">
        <v>114000</v>
      </c>
      <c r="AR236">
        <v>114000</v>
      </c>
      <c r="AT236" t="s">
        <v>64</v>
      </c>
      <c r="AU236" t="str">
        <f t="shared" si="3"/>
        <v>Omset Interface</v>
      </c>
    </row>
    <row r="237" spans="2:47" ht="23.1" customHeight="1">
      <c r="B237" s="9">
        <v>46243</v>
      </c>
      <c r="D237" t="s">
        <v>646</v>
      </c>
      <c r="F237" t="s">
        <v>647</v>
      </c>
      <c r="H237" s="9">
        <v>46243</v>
      </c>
      <c r="J237" t="s">
        <v>54</v>
      </c>
      <c r="L237" t="s">
        <v>632</v>
      </c>
      <c r="N237" t="s">
        <v>466</v>
      </c>
      <c r="P237" t="s">
        <v>64</v>
      </c>
      <c r="R237" t="s">
        <v>31</v>
      </c>
      <c r="T237" t="s">
        <v>41</v>
      </c>
      <c r="V237" t="s">
        <v>71</v>
      </c>
      <c r="X237" t="s">
        <v>71</v>
      </c>
      <c r="Z237" t="s">
        <v>64</v>
      </c>
      <c r="AB237" t="s">
        <v>35</v>
      </c>
      <c r="AD237" t="s">
        <v>65</v>
      </c>
      <c r="AF237" t="s">
        <v>501</v>
      </c>
      <c r="AH237" t="s">
        <v>315</v>
      </c>
      <c r="AJ237" t="s">
        <v>316</v>
      </c>
      <c r="AL237">
        <v>13943</v>
      </c>
      <c r="AN237">
        <v>1</v>
      </c>
      <c r="AP237">
        <v>20000</v>
      </c>
      <c r="AR237">
        <v>20000</v>
      </c>
      <c r="AT237" t="s">
        <v>64</v>
      </c>
      <c r="AU237" t="str">
        <f t="shared" si="3"/>
        <v>Omset lainnya</v>
      </c>
    </row>
    <row r="238" spans="2:47" ht="23.1" customHeight="1">
      <c r="B238" s="9">
        <v>46243</v>
      </c>
      <c r="D238" t="s">
        <v>648</v>
      </c>
      <c r="F238" t="s">
        <v>649</v>
      </c>
      <c r="H238" s="9">
        <v>46243</v>
      </c>
      <c r="J238" t="s">
        <v>54</v>
      </c>
      <c r="L238" t="s">
        <v>650</v>
      </c>
      <c r="N238" t="s">
        <v>651</v>
      </c>
      <c r="P238" t="s">
        <v>77</v>
      </c>
      <c r="R238" t="s">
        <v>31</v>
      </c>
      <c r="T238" t="s">
        <v>32</v>
      </c>
      <c r="V238" t="s">
        <v>127</v>
      </c>
      <c r="X238" t="s">
        <v>127</v>
      </c>
      <c r="Z238" t="s">
        <v>77</v>
      </c>
      <c r="AB238" t="s">
        <v>35</v>
      </c>
      <c r="AD238" t="s">
        <v>78</v>
      </c>
      <c r="AF238" t="s">
        <v>652</v>
      </c>
      <c r="AH238" t="s">
        <v>38</v>
      </c>
      <c r="AJ238" t="s">
        <v>39</v>
      </c>
      <c r="AL238">
        <v>0</v>
      </c>
      <c r="AN238">
        <v>1</v>
      </c>
      <c r="AP238">
        <v>119000</v>
      </c>
      <c r="AR238">
        <v>119000</v>
      </c>
      <c r="AU238" t="str">
        <f t="shared" si="3"/>
        <v>Omset Interface</v>
      </c>
    </row>
    <row r="239" spans="2:47" ht="23.1" customHeight="1">
      <c r="B239" s="9">
        <v>46243</v>
      </c>
      <c r="D239" t="s">
        <v>648</v>
      </c>
      <c r="F239" t="s">
        <v>649</v>
      </c>
      <c r="H239" s="9">
        <v>46243</v>
      </c>
      <c r="J239" t="s">
        <v>54</v>
      </c>
      <c r="L239" t="s">
        <v>650</v>
      </c>
      <c r="N239" t="s">
        <v>651</v>
      </c>
      <c r="P239" t="s">
        <v>77</v>
      </c>
      <c r="R239" t="s">
        <v>31</v>
      </c>
      <c r="T239" t="s">
        <v>41</v>
      </c>
      <c r="V239" t="s">
        <v>127</v>
      </c>
      <c r="X239" t="s">
        <v>127</v>
      </c>
      <c r="Z239" t="s">
        <v>77</v>
      </c>
      <c r="AB239" t="s">
        <v>35</v>
      </c>
      <c r="AD239" t="s">
        <v>78</v>
      </c>
      <c r="AF239" t="s">
        <v>652</v>
      </c>
      <c r="AH239" t="s">
        <v>42</v>
      </c>
      <c r="AJ239" t="s">
        <v>43</v>
      </c>
      <c r="AL239">
        <v>17450</v>
      </c>
      <c r="AN239">
        <v>1</v>
      </c>
      <c r="AP239">
        <v>20000</v>
      </c>
      <c r="AR239">
        <v>20000</v>
      </c>
      <c r="AU239" t="str">
        <f t="shared" si="3"/>
        <v>Omset lainnya</v>
      </c>
    </row>
    <row r="240" spans="2:47" ht="23.1" customHeight="1">
      <c r="B240" s="9">
        <v>46243</v>
      </c>
      <c r="D240" t="s">
        <v>653</v>
      </c>
      <c r="F240" t="s">
        <v>654</v>
      </c>
      <c r="H240" s="9">
        <v>46243</v>
      </c>
      <c r="J240" t="s">
        <v>54</v>
      </c>
      <c r="L240" t="s">
        <v>632</v>
      </c>
      <c r="N240" t="s">
        <v>466</v>
      </c>
      <c r="P240" t="s">
        <v>64</v>
      </c>
      <c r="R240" t="s">
        <v>177</v>
      </c>
      <c r="T240" t="s">
        <v>41</v>
      </c>
      <c r="Z240" t="s">
        <v>64</v>
      </c>
      <c r="AB240" t="s">
        <v>178</v>
      </c>
      <c r="AD240" t="s">
        <v>50</v>
      </c>
      <c r="AF240" t="s">
        <v>655</v>
      </c>
      <c r="AH240" t="s">
        <v>656</v>
      </c>
      <c r="AJ240" t="s">
        <v>657</v>
      </c>
      <c r="AL240">
        <v>7164.1791039999998</v>
      </c>
      <c r="AN240">
        <v>1</v>
      </c>
      <c r="AP240">
        <v>10000</v>
      </c>
      <c r="AR240">
        <v>10000</v>
      </c>
      <c r="AT240" t="s">
        <v>64</v>
      </c>
      <c r="AU240" t="str">
        <f t="shared" si="3"/>
        <v>Omset lainnya</v>
      </c>
    </row>
    <row r="241" spans="2:47" ht="23.1" customHeight="1">
      <c r="B241" s="9">
        <v>46243</v>
      </c>
      <c r="D241" t="s">
        <v>658</v>
      </c>
      <c r="F241" t="s">
        <v>659</v>
      </c>
      <c r="H241" s="9">
        <v>46243</v>
      </c>
      <c r="J241" t="s">
        <v>54</v>
      </c>
      <c r="L241" t="s">
        <v>660</v>
      </c>
      <c r="N241" t="s">
        <v>661</v>
      </c>
      <c r="P241" t="s">
        <v>77</v>
      </c>
      <c r="R241" t="s">
        <v>31</v>
      </c>
      <c r="T241" t="s">
        <v>32</v>
      </c>
      <c r="V241" t="s">
        <v>127</v>
      </c>
      <c r="X241" t="s">
        <v>127</v>
      </c>
      <c r="Z241" t="s">
        <v>77</v>
      </c>
      <c r="AB241" t="s">
        <v>95</v>
      </c>
      <c r="AD241" t="s">
        <v>65</v>
      </c>
      <c r="AF241" t="s">
        <v>662</v>
      </c>
      <c r="AH241" t="s">
        <v>270</v>
      </c>
      <c r="AJ241" t="s">
        <v>271</v>
      </c>
      <c r="AL241">
        <v>0</v>
      </c>
      <c r="AN241">
        <v>1</v>
      </c>
      <c r="AP241">
        <v>122000</v>
      </c>
      <c r="AR241">
        <v>122000</v>
      </c>
      <c r="AU241" t="str">
        <f t="shared" si="3"/>
        <v>Omset Interface</v>
      </c>
    </row>
    <row r="242" spans="2:47" ht="23.1" customHeight="1">
      <c r="B242" s="9">
        <v>46243</v>
      </c>
      <c r="D242" t="s">
        <v>658</v>
      </c>
      <c r="F242" t="s">
        <v>659</v>
      </c>
      <c r="H242" s="9">
        <v>46243</v>
      </c>
      <c r="J242" t="s">
        <v>54</v>
      </c>
      <c r="L242" t="s">
        <v>660</v>
      </c>
      <c r="N242" t="s">
        <v>661</v>
      </c>
      <c r="P242" t="s">
        <v>77</v>
      </c>
      <c r="R242" t="s">
        <v>31</v>
      </c>
      <c r="T242" t="s">
        <v>41</v>
      </c>
      <c r="V242" t="s">
        <v>127</v>
      </c>
      <c r="X242" t="s">
        <v>127</v>
      </c>
      <c r="Z242" t="s">
        <v>77</v>
      </c>
      <c r="AB242" t="s">
        <v>95</v>
      </c>
      <c r="AD242" t="s">
        <v>65</v>
      </c>
      <c r="AF242" t="s">
        <v>662</v>
      </c>
      <c r="AH242" t="s">
        <v>42</v>
      </c>
      <c r="AJ242" t="s">
        <v>43</v>
      </c>
      <c r="AL242">
        <v>17450</v>
      </c>
      <c r="AN242">
        <v>1</v>
      </c>
      <c r="AP242">
        <v>20000</v>
      </c>
      <c r="AR242">
        <v>20000</v>
      </c>
      <c r="AU242" t="str">
        <f t="shared" si="3"/>
        <v>Omset lainnya</v>
      </c>
    </row>
    <row r="243" spans="2:47" ht="23.1" customHeight="1">
      <c r="B243" s="9">
        <v>46243</v>
      </c>
      <c r="D243" t="s">
        <v>663</v>
      </c>
      <c r="F243" t="s">
        <v>664</v>
      </c>
      <c r="H243" s="9">
        <v>46243</v>
      </c>
      <c r="J243" t="s">
        <v>27</v>
      </c>
      <c r="L243" t="s">
        <v>665</v>
      </c>
      <c r="N243" t="s">
        <v>666</v>
      </c>
      <c r="P243" t="s">
        <v>64</v>
      </c>
      <c r="R243" t="s">
        <v>177</v>
      </c>
      <c r="T243" t="s">
        <v>41</v>
      </c>
      <c r="Z243" t="s">
        <v>64</v>
      </c>
      <c r="AB243" t="s">
        <v>178</v>
      </c>
      <c r="AD243" t="s">
        <v>78</v>
      </c>
      <c r="AF243" t="s">
        <v>667</v>
      </c>
      <c r="AH243" t="s">
        <v>668</v>
      </c>
      <c r="AJ243" t="s">
        <v>669</v>
      </c>
      <c r="AL243">
        <v>40000</v>
      </c>
      <c r="AN243">
        <v>1</v>
      </c>
      <c r="AP243">
        <v>65000</v>
      </c>
      <c r="AR243">
        <v>65000</v>
      </c>
      <c r="AT243" t="s">
        <v>64</v>
      </c>
      <c r="AU243" t="str">
        <f t="shared" si="3"/>
        <v>Omset lainnya</v>
      </c>
    </row>
    <row r="244" spans="2:47" ht="23.1" customHeight="1">
      <c r="B244" s="9">
        <v>46243</v>
      </c>
      <c r="D244" t="s">
        <v>670</v>
      </c>
      <c r="F244" t="s">
        <v>671</v>
      </c>
      <c r="H244" s="9">
        <v>46243</v>
      </c>
      <c r="J244" t="s">
        <v>27</v>
      </c>
      <c r="L244" t="s">
        <v>672</v>
      </c>
      <c r="N244" t="s">
        <v>673</v>
      </c>
      <c r="P244" t="s">
        <v>64</v>
      </c>
      <c r="R244" t="s">
        <v>177</v>
      </c>
      <c r="T244" t="s">
        <v>41</v>
      </c>
      <c r="Z244" t="s">
        <v>64</v>
      </c>
      <c r="AB244" t="s">
        <v>178</v>
      </c>
      <c r="AD244" t="s">
        <v>78</v>
      </c>
      <c r="AF244" t="s">
        <v>674</v>
      </c>
      <c r="AH244" t="s">
        <v>675</v>
      </c>
      <c r="AJ244" t="s">
        <v>676</v>
      </c>
      <c r="AL244">
        <v>40500</v>
      </c>
      <c r="AN244">
        <v>1</v>
      </c>
      <c r="AP244">
        <v>56000</v>
      </c>
      <c r="AR244">
        <v>56000</v>
      </c>
      <c r="AT244" t="s">
        <v>64</v>
      </c>
      <c r="AU244" t="str">
        <f t="shared" si="3"/>
        <v>Omset lainnya</v>
      </c>
    </row>
    <row r="245" spans="2:47" ht="23.1" customHeight="1">
      <c r="B245" s="9">
        <v>46243</v>
      </c>
      <c r="D245" t="s">
        <v>677</v>
      </c>
      <c r="F245" t="s">
        <v>678</v>
      </c>
      <c r="H245" s="9">
        <v>46243</v>
      </c>
      <c r="J245" t="s">
        <v>54</v>
      </c>
      <c r="L245" t="s">
        <v>679</v>
      </c>
      <c r="N245" t="s">
        <v>680</v>
      </c>
      <c r="P245" t="s">
        <v>57</v>
      </c>
      <c r="R245" t="s">
        <v>177</v>
      </c>
      <c r="T245" t="s">
        <v>41</v>
      </c>
      <c r="Z245" t="s">
        <v>57</v>
      </c>
      <c r="AB245" t="s">
        <v>178</v>
      </c>
      <c r="AD245" t="s">
        <v>78</v>
      </c>
      <c r="AF245" t="s">
        <v>178</v>
      </c>
      <c r="AH245" t="s">
        <v>634</v>
      </c>
      <c r="AJ245" t="s">
        <v>635</v>
      </c>
      <c r="AL245">
        <v>19500</v>
      </c>
      <c r="AN245">
        <v>1</v>
      </c>
      <c r="AP245">
        <v>20000</v>
      </c>
      <c r="AR245">
        <v>20000</v>
      </c>
      <c r="AU245" t="str">
        <f t="shared" si="3"/>
        <v>Omset lainnya</v>
      </c>
    </row>
    <row r="246" spans="2:47" ht="23.1" customHeight="1">
      <c r="B246" s="9">
        <v>46243</v>
      </c>
      <c r="D246" t="s">
        <v>658</v>
      </c>
      <c r="F246" t="s">
        <v>659</v>
      </c>
      <c r="H246" s="9">
        <v>46243</v>
      </c>
      <c r="J246" t="s">
        <v>54</v>
      </c>
      <c r="L246" t="s">
        <v>660</v>
      </c>
      <c r="N246" t="s">
        <v>661</v>
      </c>
      <c r="P246" t="s">
        <v>77</v>
      </c>
      <c r="R246" t="s">
        <v>31</v>
      </c>
      <c r="T246" t="s">
        <v>94</v>
      </c>
      <c r="V246" t="s">
        <v>127</v>
      </c>
      <c r="X246" t="s">
        <v>127</v>
      </c>
      <c r="Z246" t="s">
        <v>77</v>
      </c>
      <c r="AB246" t="s">
        <v>95</v>
      </c>
      <c r="AD246" t="s">
        <v>65</v>
      </c>
      <c r="AF246" t="s">
        <v>662</v>
      </c>
      <c r="AH246" t="s">
        <v>681</v>
      </c>
      <c r="AJ246" t="s">
        <v>682</v>
      </c>
      <c r="AL246">
        <v>134000</v>
      </c>
      <c r="AN246">
        <v>1</v>
      </c>
      <c r="AP246">
        <v>148000</v>
      </c>
      <c r="AR246">
        <v>148000</v>
      </c>
      <c r="AU246" t="str">
        <f t="shared" si="3"/>
        <v>Omset lainnya</v>
      </c>
    </row>
    <row r="247" spans="2:47" ht="23.1" customHeight="1">
      <c r="B247" s="9">
        <v>46243</v>
      </c>
      <c r="D247" t="s">
        <v>646</v>
      </c>
      <c r="F247" t="s">
        <v>647</v>
      </c>
      <c r="H247" s="9">
        <v>46243</v>
      </c>
      <c r="J247" t="s">
        <v>54</v>
      </c>
      <c r="L247" t="s">
        <v>632</v>
      </c>
      <c r="N247" t="s">
        <v>466</v>
      </c>
      <c r="P247" t="s">
        <v>64</v>
      </c>
      <c r="R247" t="s">
        <v>31</v>
      </c>
      <c r="T247" t="s">
        <v>94</v>
      </c>
      <c r="V247" t="s">
        <v>71</v>
      </c>
      <c r="X247" t="s">
        <v>71</v>
      </c>
      <c r="Z247" t="s">
        <v>64</v>
      </c>
      <c r="AB247" t="s">
        <v>35</v>
      </c>
      <c r="AD247" t="s">
        <v>65</v>
      </c>
      <c r="AF247" t="s">
        <v>501</v>
      </c>
      <c r="AH247" t="s">
        <v>502</v>
      </c>
      <c r="AJ247" t="s">
        <v>503</v>
      </c>
      <c r="AL247">
        <v>122500</v>
      </c>
      <c r="AN247">
        <v>1</v>
      </c>
      <c r="AP247">
        <v>136000</v>
      </c>
      <c r="AR247">
        <v>136000</v>
      </c>
      <c r="AT247" t="s">
        <v>64</v>
      </c>
      <c r="AU247" t="str">
        <f t="shared" si="3"/>
        <v>Omset lainnya</v>
      </c>
    </row>
    <row r="248" spans="2:47" ht="23.1" customHeight="1">
      <c r="B248" s="9">
        <v>46244</v>
      </c>
      <c r="D248" t="s">
        <v>683</v>
      </c>
      <c r="F248" t="s">
        <v>684</v>
      </c>
      <c r="H248" s="9">
        <v>46244</v>
      </c>
      <c r="J248" t="s">
        <v>27</v>
      </c>
      <c r="L248" t="s">
        <v>685</v>
      </c>
      <c r="N248" t="s">
        <v>686</v>
      </c>
      <c r="P248" t="s">
        <v>77</v>
      </c>
      <c r="R248" t="s">
        <v>31</v>
      </c>
      <c r="T248" t="s">
        <v>32</v>
      </c>
      <c r="V248" t="s">
        <v>49</v>
      </c>
      <c r="X248" t="s">
        <v>49</v>
      </c>
      <c r="Z248" t="s">
        <v>77</v>
      </c>
      <c r="AB248" t="s">
        <v>35</v>
      </c>
      <c r="AD248" t="s">
        <v>128</v>
      </c>
      <c r="AF248" t="s">
        <v>687</v>
      </c>
      <c r="AH248" t="s">
        <v>38</v>
      </c>
      <c r="AJ248" t="s">
        <v>39</v>
      </c>
      <c r="AL248">
        <v>0</v>
      </c>
      <c r="AN248">
        <v>1</v>
      </c>
      <c r="AP248">
        <v>146000</v>
      </c>
      <c r="AR248">
        <v>146000</v>
      </c>
      <c r="AU248" t="str">
        <f t="shared" si="3"/>
        <v>Omset Interface</v>
      </c>
    </row>
    <row r="249" spans="2:47" ht="23.1" customHeight="1">
      <c r="B249" s="9">
        <v>46244</v>
      </c>
      <c r="D249" t="s">
        <v>683</v>
      </c>
      <c r="F249" t="s">
        <v>684</v>
      </c>
      <c r="H249" s="9">
        <v>46244</v>
      </c>
      <c r="J249" t="s">
        <v>27</v>
      </c>
      <c r="L249" t="s">
        <v>685</v>
      </c>
      <c r="N249" t="s">
        <v>686</v>
      </c>
      <c r="P249" t="s">
        <v>77</v>
      </c>
      <c r="R249" t="s">
        <v>31</v>
      </c>
      <c r="T249" t="s">
        <v>41</v>
      </c>
      <c r="V249" t="s">
        <v>49</v>
      </c>
      <c r="X249" t="s">
        <v>49</v>
      </c>
      <c r="Z249" t="s">
        <v>77</v>
      </c>
      <c r="AB249" t="s">
        <v>35</v>
      </c>
      <c r="AD249" t="s">
        <v>128</v>
      </c>
      <c r="AF249" t="s">
        <v>687</v>
      </c>
      <c r="AH249" t="s">
        <v>42</v>
      </c>
      <c r="AJ249" t="s">
        <v>43</v>
      </c>
      <c r="AL249">
        <v>17450</v>
      </c>
      <c r="AN249">
        <v>1</v>
      </c>
      <c r="AP249">
        <v>20000</v>
      </c>
      <c r="AR249">
        <v>20000</v>
      </c>
      <c r="AU249" t="str">
        <f t="shared" si="3"/>
        <v>Omset lainnya</v>
      </c>
    </row>
    <row r="250" spans="2:47" ht="23.1" customHeight="1">
      <c r="B250" s="9">
        <v>46244</v>
      </c>
      <c r="D250" t="s">
        <v>688</v>
      </c>
      <c r="F250" t="s">
        <v>689</v>
      </c>
      <c r="H250" s="9">
        <v>46237</v>
      </c>
      <c r="J250" t="s">
        <v>27</v>
      </c>
      <c r="L250" t="s">
        <v>690</v>
      </c>
      <c r="N250" t="s">
        <v>691</v>
      </c>
      <c r="P250" t="s">
        <v>64</v>
      </c>
      <c r="R250" t="s">
        <v>31</v>
      </c>
      <c r="T250" t="s">
        <v>41</v>
      </c>
      <c r="V250" t="s">
        <v>33</v>
      </c>
      <c r="X250" t="s">
        <v>33</v>
      </c>
      <c r="Z250" t="s">
        <v>64</v>
      </c>
      <c r="AB250" t="s">
        <v>692</v>
      </c>
      <c r="AD250" t="s">
        <v>693</v>
      </c>
      <c r="AF250" t="s">
        <v>694</v>
      </c>
      <c r="AH250" t="s">
        <v>42</v>
      </c>
      <c r="AJ250" t="s">
        <v>43</v>
      </c>
      <c r="AL250">
        <v>17450</v>
      </c>
      <c r="AN250">
        <v>1</v>
      </c>
      <c r="AP250">
        <v>20000</v>
      </c>
      <c r="AR250">
        <v>20000</v>
      </c>
      <c r="AT250" t="s">
        <v>64</v>
      </c>
      <c r="AU250" t="str">
        <f t="shared" si="3"/>
        <v>Omset lainnya</v>
      </c>
    </row>
    <row r="251" spans="2:47" ht="23.1" customHeight="1">
      <c r="B251" s="9">
        <v>46244</v>
      </c>
      <c r="D251" t="s">
        <v>695</v>
      </c>
      <c r="F251" t="s">
        <v>696</v>
      </c>
      <c r="H251" s="9">
        <v>46244</v>
      </c>
      <c r="J251" t="s">
        <v>27</v>
      </c>
      <c r="L251" t="s">
        <v>697</v>
      </c>
      <c r="N251" t="s">
        <v>698</v>
      </c>
      <c r="P251" t="s">
        <v>57</v>
      </c>
      <c r="R251" t="s">
        <v>31</v>
      </c>
      <c r="T251" t="s">
        <v>32</v>
      </c>
      <c r="V251" t="s">
        <v>127</v>
      </c>
      <c r="X251" t="s">
        <v>127</v>
      </c>
      <c r="Z251" t="s">
        <v>57</v>
      </c>
      <c r="AB251" t="s">
        <v>35</v>
      </c>
      <c r="AD251" t="s">
        <v>36</v>
      </c>
      <c r="AF251" t="s">
        <v>699</v>
      </c>
      <c r="AH251" t="s">
        <v>38</v>
      </c>
      <c r="AJ251" t="s">
        <v>39</v>
      </c>
      <c r="AL251">
        <v>0</v>
      </c>
      <c r="AN251">
        <v>1</v>
      </c>
      <c r="AP251">
        <v>116500</v>
      </c>
      <c r="AR251">
        <v>116500</v>
      </c>
      <c r="AT251" t="s">
        <v>57</v>
      </c>
      <c r="AU251" t="str">
        <f t="shared" si="3"/>
        <v>Omset Interface</v>
      </c>
    </row>
    <row r="252" spans="2:47" ht="23.1" customHeight="1">
      <c r="B252" s="9">
        <v>46244</v>
      </c>
      <c r="D252" t="s">
        <v>695</v>
      </c>
      <c r="F252" t="s">
        <v>696</v>
      </c>
      <c r="H252" s="9">
        <v>46244</v>
      </c>
      <c r="J252" t="s">
        <v>27</v>
      </c>
      <c r="L252" t="s">
        <v>697</v>
      </c>
      <c r="N252" t="s">
        <v>698</v>
      </c>
      <c r="P252" t="s">
        <v>57</v>
      </c>
      <c r="R252" t="s">
        <v>31</v>
      </c>
      <c r="T252" t="s">
        <v>41</v>
      </c>
      <c r="V252" t="s">
        <v>127</v>
      </c>
      <c r="X252" t="s">
        <v>127</v>
      </c>
      <c r="Z252" t="s">
        <v>57</v>
      </c>
      <c r="AB252" t="s">
        <v>35</v>
      </c>
      <c r="AD252" t="s">
        <v>36</v>
      </c>
      <c r="AF252" t="s">
        <v>699</v>
      </c>
      <c r="AH252" t="s">
        <v>42</v>
      </c>
      <c r="AJ252" t="s">
        <v>43</v>
      </c>
      <c r="AL252">
        <v>17450</v>
      </c>
      <c r="AN252">
        <v>1</v>
      </c>
      <c r="AP252">
        <v>20000</v>
      </c>
      <c r="AR252">
        <v>20000</v>
      </c>
      <c r="AT252" t="s">
        <v>57</v>
      </c>
      <c r="AU252" t="str">
        <f t="shared" si="3"/>
        <v>Omset lainnya</v>
      </c>
    </row>
    <row r="253" spans="2:47" ht="14.1" customHeight="1">
      <c r="B253" s="9">
        <v>46244</v>
      </c>
      <c r="D253" t="s">
        <v>700</v>
      </c>
      <c r="F253" t="s">
        <v>701</v>
      </c>
      <c r="H253" s="9">
        <v>46244</v>
      </c>
      <c r="J253" t="s">
        <v>27</v>
      </c>
      <c r="L253" t="s">
        <v>702</v>
      </c>
      <c r="N253" t="s">
        <v>703</v>
      </c>
      <c r="P253" t="s">
        <v>77</v>
      </c>
      <c r="R253" t="s">
        <v>31</v>
      </c>
      <c r="T253" t="s">
        <v>94</v>
      </c>
      <c r="V253" t="s">
        <v>49</v>
      </c>
      <c r="X253" t="s">
        <v>49</v>
      </c>
      <c r="Z253" t="s">
        <v>64</v>
      </c>
      <c r="AB253" t="s">
        <v>35</v>
      </c>
      <c r="AD253" t="s">
        <v>50</v>
      </c>
      <c r="AF253" t="s">
        <v>655</v>
      </c>
      <c r="AH253" t="s">
        <v>704</v>
      </c>
      <c r="AJ253" t="s">
        <v>705</v>
      </c>
      <c r="AL253">
        <v>590000</v>
      </c>
      <c r="AN253">
        <v>1</v>
      </c>
      <c r="AP253">
        <v>650000</v>
      </c>
      <c r="AR253">
        <v>650000</v>
      </c>
      <c r="AT253" t="s">
        <v>77</v>
      </c>
      <c r="AU253" t="str">
        <f t="shared" si="3"/>
        <v>Omset lainnya</v>
      </c>
    </row>
    <row r="254" spans="2:47" ht="14.1" customHeight="1">
      <c r="B254" s="9">
        <v>46244</v>
      </c>
      <c r="D254" t="s">
        <v>706</v>
      </c>
      <c r="F254" t="s">
        <v>707</v>
      </c>
      <c r="H254" s="9">
        <v>46244</v>
      </c>
      <c r="J254" t="s">
        <v>54</v>
      </c>
      <c r="L254" t="s">
        <v>708</v>
      </c>
      <c r="N254" t="s">
        <v>709</v>
      </c>
      <c r="P254" t="s">
        <v>57</v>
      </c>
      <c r="R254" t="s">
        <v>31</v>
      </c>
      <c r="T254" t="s">
        <v>94</v>
      </c>
      <c r="V254" t="s">
        <v>86</v>
      </c>
      <c r="X254" t="s">
        <v>86</v>
      </c>
      <c r="Z254" t="s">
        <v>57</v>
      </c>
      <c r="AB254" t="s">
        <v>268</v>
      </c>
      <c r="AD254" t="s">
        <v>65</v>
      </c>
      <c r="AF254" t="s">
        <v>710</v>
      </c>
      <c r="AH254" t="s">
        <v>711</v>
      </c>
      <c r="AJ254" t="s">
        <v>712</v>
      </c>
      <c r="AL254">
        <v>147000</v>
      </c>
      <c r="AN254">
        <v>1</v>
      </c>
      <c r="AP254">
        <v>162000</v>
      </c>
      <c r="AR254">
        <v>162000</v>
      </c>
      <c r="AU254" t="str">
        <f t="shared" si="3"/>
        <v>Omset lainnya</v>
      </c>
    </row>
    <row r="255" spans="2:47" ht="23.1" customHeight="1">
      <c r="B255" s="9">
        <v>46244</v>
      </c>
      <c r="D255" t="s">
        <v>713</v>
      </c>
      <c r="F255" t="s">
        <v>714</v>
      </c>
      <c r="H255" s="9">
        <v>46244</v>
      </c>
      <c r="J255" t="s">
        <v>27</v>
      </c>
      <c r="L255" t="s">
        <v>715</v>
      </c>
      <c r="N255" t="s">
        <v>185</v>
      </c>
      <c r="P255" t="s">
        <v>64</v>
      </c>
      <c r="R255" t="s">
        <v>31</v>
      </c>
      <c r="T255" t="s">
        <v>94</v>
      </c>
      <c r="V255" t="s">
        <v>33</v>
      </c>
      <c r="X255" t="s">
        <v>33</v>
      </c>
      <c r="Z255" t="s">
        <v>64</v>
      </c>
      <c r="AB255" t="s">
        <v>268</v>
      </c>
      <c r="AD255" t="s">
        <v>87</v>
      </c>
      <c r="AF255" t="s">
        <v>716</v>
      </c>
      <c r="AH255" t="s">
        <v>717</v>
      </c>
      <c r="AJ255" t="s">
        <v>718</v>
      </c>
      <c r="AL255">
        <v>190000</v>
      </c>
      <c r="AN255">
        <v>1</v>
      </c>
      <c r="AP255">
        <v>209000</v>
      </c>
      <c r="AR255">
        <v>209000</v>
      </c>
      <c r="AT255" t="s">
        <v>64</v>
      </c>
      <c r="AU255" t="str">
        <f t="shared" si="3"/>
        <v>Omset lainnya</v>
      </c>
    </row>
    <row r="256" spans="2:47" ht="23.1" customHeight="1">
      <c r="B256" s="9">
        <v>46253</v>
      </c>
      <c r="D256" t="s">
        <v>719</v>
      </c>
      <c r="F256" t="s">
        <v>720</v>
      </c>
      <c r="H256" s="9">
        <v>46244</v>
      </c>
      <c r="J256" t="s">
        <v>27</v>
      </c>
      <c r="L256" t="s">
        <v>721</v>
      </c>
      <c r="N256" t="s">
        <v>722</v>
      </c>
      <c r="P256" t="s">
        <v>57</v>
      </c>
      <c r="R256" t="s">
        <v>31</v>
      </c>
      <c r="T256" t="s">
        <v>94</v>
      </c>
      <c r="V256" t="s">
        <v>86</v>
      </c>
      <c r="X256" t="s">
        <v>86</v>
      </c>
      <c r="Z256" t="s">
        <v>57</v>
      </c>
      <c r="AB256" t="s">
        <v>95</v>
      </c>
      <c r="AD256" t="s">
        <v>65</v>
      </c>
      <c r="AF256" t="s">
        <v>723</v>
      </c>
      <c r="AH256" t="s">
        <v>724</v>
      </c>
      <c r="AJ256" t="s">
        <v>725</v>
      </c>
      <c r="AL256">
        <v>191500</v>
      </c>
      <c r="AN256">
        <v>1</v>
      </c>
      <c r="AP256">
        <v>230000</v>
      </c>
      <c r="AR256">
        <v>230000</v>
      </c>
      <c r="AU256" t="str">
        <f t="shared" si="3"/>
        <v>Omset lainnya</v>
      </c>
    </row>
    <row r="257" spans="2:47" ht="23.1" customHeight="1">
      <c r="B257" s="9">
        <v>46244</v>
      </c>
      <c r="D257" t="s">
        <v>485</v>
      </c>
      <c r="F257" t="s">
        <v>486</v>
      </c>
      <c r="H257" s="9">
        <v>46242</v>
      </c>
      <c r="J257" t="s">
        <v>54</v>
      </c>
      <c r="L257" t="s">
        <v>487</v>
      </c>
      <c r="N257" t="s">
        <v>488</v>
      </c>
      <c r="P257" t="s">
        <v>57</v>
      </c>
      <c r="R257" t="s">
        <v>31</v>
      </c>
      <c r="T257" t="s">
        <v>41</v>
      </c>
      <c r="V257" t="s">
        <v>86</v>
      </c>
      <c r="X257" t="s">
        <v>86</v>
      </c>
      <c r="Z257" t="s">
        <v>64</v>
      </c>
      <c r="AB257" t="s">
        <v>35</v>
      </c>
      <c r="AD257" t="s">
        <v>65</v>
      </c>
      <c r="AF257" t="s">
        <v>489</v>
      </c>
      <c r="AH257" t="s">
        <v>42</v>
      </c>
      <c r="AJ257" t="s">
        <v>43</v>
      </c>
      <c r="AL257">
        <v>17450</v>
      </c>
      <c r="AN257">
        <v>1</v>
      </c>
      <c r="AP257">
        <v>20000</v>
      </c>
      <c r="AR257">
        <v>20000</v>
      </c>
      <c r="AT257" t="s">
        <v>57</v>
      </c>
      <c r="AU257" t="str">
        <f t="shared" si="3"/>
        <v>Omset lainnya</v>
      </c>
    </row>
    <row r="258" spans="2:47" ht="23.1" customHeight="1">
      <c r="B258" s="9">
        <v>46245</v>
      </c>
      <c r="D258" t="s">
        <v>726</v>
      </c>
      <c r="F258" t="s">
        <v>727</v>
      </c>
      <c r="H258" s="9">
        <v>46244</v>
      </c>
      <c r="J258" t="s">
        <v>27</v>
      </c>
      <c r="L258" t="s">
        <v>728</v>
      </c>
      <c r="N258" t="s">
        <v>172</v>
      </c>
      <c r="P258" t="s">
        <v>77</v>
      </c>
      <c r="R258" t="s">
        <v>31</v>
      </c>
      <c r="T258" t="s">
        <v>32</v>
      </c>
      <c r="V258" t="s">
        <v>49</v>
      </c>
      <c r="X258" t="s">
        <v>49</v>
      </c>
      <c r="Z258" t="s">
        <v>57</v>
      </c>
      <c r="AB258" t="s">
        <v>95</v>
      </c>
      <c r="AD258" t="s">
        <v>65</v>
      </c>
      <c r="AF258" t="s">
        <v>482</v>
      </c>
      <c r="AH258" t="s">
        <v>585</v>
      </c>
      <c r="AJ258" t="s">
        <v>586</v>
      </c>
      <c r="AL258">
        <v>0</v>
      </c>
      <c r="AN258">
        <v>1</v>
      </c>
      <c r="AP258">
        <v>250000</v>
      </c>
      <c r="AR258">
        <v>250000</v>
      </c>
      <c r="AT258" t="s">
        <v>64</v>
      </c>
      <c r="AU258" t="str">
        <f t="shared" ref="AU258:AU321" si="4">_xlfn.IFS(ISNUMBER(SEARCH("Interface", AJ258)), "Omset Interface", ISNUMBER(SEARCH("Normal", AJ258)), "Omset Normal", ISNUMBER(SEARCH("Mati Total", AJ258)), "Omset Mati Total", ISNUMBER(SEARCH("Promo", AJ258)), "Omset Promo", TRUE, "Omset lainnya")</f>
        <v>Omset Mati Total</v>
      </c>
    </row>
    <row r="259" spans="2:47" ht="23.1" customHeight="1">
      <c r="B259" s="9">
        <v>46245</v>
      </c>
      <c r="D259" t="s">
        <v>729</v>
      </c>
      <c r="F259" t="s">
        <v>730</v>
      </c>
      <c r="H259" s="9">
        <v>46245</v>
      </c>
      <c r="J259" t="s">
        <v>27</v>
      </c>
      <c r="L259" t="s">
        <v>582</v>
      </c>
      <c r="N259" t="s">
        <v>583</v>
      </c>
      <c r="P259" t="s">
        <v>57</v>
      </c>
      <c r="R259" t="s">
        <v>31</v>
      </c>
      <c r="T259" t="s">
        <v>32</v>
      </c>
      <c r="V259" t="s">
        <v>127</v>
      </c>
      <c r="X259" t="s">
        <v>127</v>
      </c>
      <c r="Z259" t="s">
        <v>57</v>
      </c>
      <c r="AB259" t="s">
        <v>35</v>
      </c>
      <c r="AD259" t="s">
        <v>65</v>
      </c>
      <c r="AF259" t="s">
        <v>731</v>
      </c>
      <c r="AH259" t="s">
        <v>38</v>
      </c>
      <c r="AJ259" t="s">
        <v>39</v>
      </c>
      <c r="AL259">
        <v>0</v>
      </c>
      <c r="AN259">
        <v>1</v>
      </c>
      <c r="AP259">
        <v>110000</v>
      </c>
      <c r="AR259">
        <v>110000</v>
      </c>
      <c r="AT259" t="s">
        <v>64</v>
      </c>
      <c r="AU259" t="str">
        <f t="shared" si="4"/>
        <v>Omset Interface</v>
      </c>
    </row>
    <row r="260" spans="2:47" ht="23.1" customHeight="1">
      <c r="B260" s="9">
        <v>46245</v>
      </c>
      <c r="D260" t="s">
        <v>729</v>
      </c>
      <c r="F260" t="s">
        <v>730</v>
      </c>
      <c r="H260" s="9">
        <v>46245</v>
      </c>
      <c r="J260" t="s">
        <v>27</v>
      </c>
      <c r="L260" t="s">
        <v>582</v>
      </c>
      <c r="N260" t="s">
        <v>583</v>
      </c>
      <c r="P260" t="s">
        <v>57</v>
      </c>
      <c r="R260" t="s">
        <v>31</v>
      </c>
      <c r="T260" t="s">
        <v>41</v>
      </c>
      <c r="V260" t="s">
        <v>127</v>
      </c>
      <c r="X260" t="s">
        <v>127</v>
      </c>
      <c r="Z260" t="s">
        <v>57</v>
      </c>
      <c r="AB260" t="s">
        <v>35</v>
      </c>
      <c r="AD260" t="s">
        <v>65</v>
      </c>
      <c r="AF260" t="s">
        <v>731</v>
      </c>
      <c r="AH260" t="s">
        <v>42</v>
      </c>
      <c r="AJ260" t="s">
        <v>43</v>
      </c>
      <c r="AL260">
        <v>17450</v>
      </c>
      <c r="AN260">
        <v>1</v>
      </c>
      <c r="AP260">
        <v>20000</v>
      </c>
      <c r="AR260">
        <v>20000</v>
      </c>
      <c r="AT260" t="s">
        <v>64</v>
      </c>
      <c r="AU260" t="str">
        <f t="shared" si="4"/>
        <v>Omset lainnya</v>
      </c>
    </row>
    <row r="261" spans="2:47" ht="14.1" customHeight="1">
      <c r="B261" s="9">
        <v>46245</v>
      </c>
      <c r="D261" t="s">
        <v>732</v>
      </c>
      <c r="F261" t="s">
        <v>733</v>
      </c>
      <c r="H261" s="9">
        <v>46245</v>
      </c>
      <c r="J261" t="s">
        <v>54</v>
      </c>
      <c r="L261" t="s">
        <v>734</v>
      </c>
      <c r="N261" t="s">
        <v>735</v>
      </c>
      <c r="P261" t="s">
        <v>77</v>
      </c>
      <c r="R261" t="s">
        <v>31</v>
      </c>
      <c r="T261" t="s">
        <v>32</v>
      </c>
      <c r="V261" t="s">
        <v>127</v>
      </c>
      <c r="X261" t="s">
        <v>127</v>
      </c>
      <c r="Z261" t="s">
        <v>64</v>
      </c>
      <c r="AB261" t="s">
        <v>35</v>
      </c>
      <c r="AD261" t="s">
        <v>128</v>
      </c>
      <c r="AF261" t="s">
        <v>736</v>
      </c>
      <c r="AH261" t="s">
        <v>38</v>
      </c>
      <c r="AJ261" t="s">
        <v>39</v>
      </c>
      <c r="AL261">
        <v>0</v>
      </c>
      <c r="AN261">
        <v>1</v>
      </c>
      <c r="AP261">
        <v>99000</v>
      </c>
      <c r="AR261">
        <v>99000</v>
      </c>
      <c r="AT261" t="s">
        <v>77</v>
      </c>
      <c r="AU261" t="str">
        <f t="shared" si="4"/>
        <v>Omset Interface</v>
      </c>
    </row>
    <row r="262" spans="2:47" ht="23.1" customHeight="1">
      <c r="B262" s="9">
        <v>46245</v>
      </c>
      <c r="D262" t="s">
        <v>732</v>
      </c>
      <c r="F262" t="s">
        <v>733</v>
      </c>
      <c r="H262" s="9">
        <v>46245</v>
      </c>
      <c r="J262" t="s">
        <v>54</v>
      </c>
      <c r="L262" t="s">
        <v>734</v>
      </c>
      <c r="N262" t="s">
        <v>735</v>
      </c>
      <c r="P262" t="s">
        <v>77</v>
      </c>
      <c r="R262" t="s">
        <v>31</v>
      </c>
      <c r="T262" t="s">
        <v>41</v>
      </c>
      <c r="V262" t="s">
        <v>127</v>
      </c>
      <c r="X262" t="s">
        <v>127</v>
      </c>
      <c r="Z262" t="s">
        <v>64</v>
      </c>
      <c r="AB262" t="s">
        <v>35</v>
      </c>
      <c r="AD262" t="s">
        <v>128</v>
      </c>
      <c r="AF262" t="s">
        <v>736</v>
      </c>
      <c r="AH262" t="s">
        <v>42</v>
      </c>
      <c r="AJ262" t="s">
        <v>43</v>
      </c>
      <c r="AL262">
        <v>17450</v>
      </c>
      <c r="AN262">
        <v>1</v>
      </c>
      <c r="AP262">
        <v>21000</v>
      </c>
      <c r="AR262">
        <v>21000</v>
      </c>
      <c r="AT262" t="s">
        <v>77</v>
      </c>
      <c r="AU262" t="str">
        <f t="shared" si="4"/>
        <v>Omset lainnya</v>
      </c>
    </row>
    <row r="263" spans="2:47" ht="23.1" customHeight="1">
      <c r="B263" s="9">
        <v>46245</v>
      </c>
      <c r="D263" t="s">
        <v>737</v>
      </c>
      <c r="F263" t="s">
        <v>738</v>
      </c>
      <c r="H263" s="9">
        <v>46245</v>
      </c>
      <c r="J263" t="s">
        <v>54</v>
      </c>
      <c r="L263" t="s">
        <v>739</v>
      </c>
      <c r="N263" t="s">
        <v>740</v>
      </c>
      <c r="P263" t="s">
        <v>77</v>
      </c>
      <c r="R263" t="s">
        <v>31</v>
      </c>
      <c r="T263" t="s">
        <v>32</v>
      </c>
      <c r="V263" t="s">
        <v>71</v>
      </c>
      <c r="X263" t="s">
        <v>71</v>
      </c>
      <c r="Z263" t="s">
        <v>77</v>
      </c>
      <c r="AB263" t="s">
        <v>35</v>
      </c>
      <c r="AD263" t="s">
        <v>50</v>
      </c>
      <c r="AF263" t="s">
        <v>187</v>
      </c>
      <c r="AH263" t="s">
        <v>38</v>
      </c>
      <c r="AJ263" t="s">
        <v>39</v>
      </c>
      <c r="AL263">
        <v>0</v>
      </c>
      <c r="AN263">
        <v>1</v>
      </c>
      <c r="AP263">
        <v>93000</v>
      </c>
      <c r="AR263">
        <v>93000</v>
      </c>
      <c r="AT263" t="s">
        <v>77</v>
      </c>
      <c r="AU263" t="str">
        <f t="shared" si="4"/>
        <v>Omset Interface</v>
      </c>
    </row>
    <row r="264" spans="2:47" ht="23.1" customHeight="1">
      <c r="B264" s="9">
        <v>46245</v>
      </c>
      <c r="D264" t="s">
        <v>737</v>
      </c>
      <c r="F264" t="s">
        <v>738</v>
      </c>
      <c r="H264" s="9">
        <v>46245</v>
      </c>
      <c r="J264" t="s">
        <v>54</v>
      </c>
      <c r="L264" t="s">
        <v>739</v>
      </c>
      <c r="N264" t="s">
        <v>740</v>
      </c>
      <c r="P264" t="s">
        <v>77</v>
      </c>
      <c r="R264" t="s">
        <v>31</v>
      </c>
      <c r="T264" t="s">
        <v>41</v>
      </c>
      <c r="V264" t="s">
        <v>71</v>
      </c>
      <c r="X264" t="s">
        <v>71</v>
      </c>
      <c r="Z264" t="s">
        <v>77</v>
      </c>
      <c r="AB264" t="s">
        <v>35</v>
      </c>
      <c r="AD264" t="s">
        <v>50</v>
      </c>
      <c r="AF264" t="s">
        <v>187</v>
      </c>
      <c r="AH264" t="s">
        <v>42</v>
      </c>
      <c r="AJ264" t="s">
        <v>43</v>
      </c>
      <c r="AL264">
        <v>17450</v>
      </c>
      <c r="AN264">
        <v>1</v>
      </c>
      <c r="AP264">
        <v>20000</v>
      </c>
      <c r="AR264">
        <v>20000</v>
      </c>
      <c r="AT264" t="s">
        <v>77</v>
      </c>
      <c r="AU264" t="str">
        <f t="shared" si="4"/>
        <v>Omset lainnya</v>
      </c>
    </row>
    <row r="265" spans="2:47" ht="23.1" customHeight="1">
      <c r="B265" s="9">
        <v>46243</v>
      </c>
      <c r="D265" t="s">
        <v>741</v>
      </c>
      <c r="F265" t="s">
        <v>742</v>
      </c>
      <c r="H265" s="9">
        <v>46243</v>
      </c>
      <c r="J265" t="s">
        <v>54</v>
      </c>
      <c r="L265" t="s">
        <v>743</v>
      </c>
      <c r="N265" t="s">
        <v>744</v>
      </c>
      <c r="P265" t="s">
        <v>57</v>
      </c>
      <c r="R265" t="s">
        <v>31</v>
      </c>
      <c r="T265" t="s">
        <v>32</v>
      </c>
      <c r="V265" t="s">
        <v>86</v>
      </c>
      <c r="X265" t="s">
        <v>86</v>
      </c>
      <c r="Z265" t="s">
        <v>57</v>
      </c>
      <c r="AB265" t="s">
        <v>95</v>
      </c>
      <c r="AD265" t="s">
        <v>65</v>
      </c>
      <c r="AF265" t="s">
        <v>745</v>
      </c>
      <c r="AH265" t="s">
        <v>746</v>
      </c>
      <c r="AJ265" t="s">
        <v>747</v>
      </c>
      <c r="AL265">
        <v>0</v>
      </c>
      <c r="AN265">
        <v>1</v>
      </c>
      <c r="AP265">
        <v>50000</v>
      </c>
      <c r="AR265">
        <v>50000</v>
      </c>
      <c r="AT265" t="s">
        <v>57</v>
      </c>
      <c r="AU265" t="str">
        <f t="shared" si="4"/>
        <v>Omset Normal</v>
      </c>
    </row>
    <row r="266" spans="2:47" ht="23.1" customHeight="1">
      <c r="B266" s="9">
        <v>46243</v>
      </c>
      <c r="D266" t="s">
        <v>648</v>
      </c>
      <c r="F266" t="s">
        <v>649</v>
      </c>
      <c r="H266" s="9">
        <v>46243</v>
      </c>
      <c r="J266" t="s">
        <v>54</v>
      </c>
      <c r="L266" t="s">
        <v>650</v>
      </c>
      <c r="N266" t="s">
        <v>651</v>
      </c>
      <c r="P266" t="s">
        <v>77</v>
      </c>
      <c r="R266" t="s">
        <v>31</v>
      </c>
      <c r="T266" t="s">
        <v>94</v>
      </c>
      <c r="V266" t="s">
        <v>127</v>
      </c>
      <c r="X266" t="s">
        <v>127</v>
      </c>
      <c r="Z266" t="s">
        <v>77</v>
      </c>
      <c r="AB266" t="s">
        <v>35</v>
      </c>
      <c r="AD266" t="s">
        <v>78</v>
      </c>
      <c r="AF266" t="s">
        <v>652</v>
      </c>
      <c r="AH266" t="s">
        <v>748</v>
      </c>
      <c r="AJ266" t="s">
        <v>749</v>
      </c>
      <c r="AL266">
        <v>112750</v>
      </c>
      <c r="AN266">
        <v>1</v>
      </c>
      <c r="AP266">
        <v>131000</v>
      </c>
      <c r="AR266">
        <v>131000</v>
      </c>
      <c r="AU266" t="str">
        <f t="shared" si="4"/>
        <v>Omset lainnya</v>
      </c>
    </row>
    <row r="267" spans="2:47" ht="23.1" customHeight="1">
      <c r="B267" s="9">
        <v>46244</v>
      </c>
      <c r="D267" t="s">
        <v>706</v>
      </c>
      <c r="F267" t="s">
        <v>707</v>
      </c>
      <c r="H267" s="9">
        <v>46244</v>
      </c>
      <c r="J267" t="s">
        <v>54</v>
      </c>
      <c r="L267" t="s">
        <v>708</v>
      </c>
      <c r="N267" t="s">
        <v>709</v>
      </c>
      <c r="P267" t="s">
        <v>57</v>
      </c>
      <c r="R267" t="s">
        <v>31</v>
      </c>
      <c r="T267" t="s">
        <v>32</v>
      </c>
      <c r="V267" t="s">
        <v>86</v>
      </c>
      <c r="X267" t="s">
        <v>86</v>
      </c>
      <c r="Z267" t="s">
        <v>57</v>
      </c>
      <c r="AB267" t="s">
        <v>268</v>
      </c>
      <c r="AD267" t="s">
        <v>65</v>
      </c>
      <c r="AF267" t="s">
        <v>710</v>
      </c>
      <c r="AH267" t="s">
        <v>270</v>
      </c>
      <c r="AJ267" t="s">
        <v>271</v>
      </c>
      <c r="AL267">
        <v>0</v>
      </c>
      <c r="AN267">
        <v>1</v>
      </c>
      <c r="AP267">
        <v>101000</v>
      </c>
      <c r="AR267">
        <v>101000</v>
      </c>
      <c r="AU267" t="str">
        <f t="shared" si="4"/>
        <v>Omset Interface</v>
      </c>
    </row>
    <row r="268" spans="2:47" ht="23.1" customHeight="1">
      <c r="B268" s="9">
        <v>46244</v>
      </c>
      <c r="D268" t="s">
        <v>706</v>
      </c>
      <c r="F268" t="s">
        <v>707</v>
      </c>
      <c r="H268" s="9">
        <v>46244</v>
      </c>
      <c r="J268" t="s">
        <v>54</v>
      </c>
      <c r="L268" t="s">
        <v>708</v>
      </c>
      <c r="N268" t="s">
        <v>709</v>
      </c>
      <c r="P268" t="s">
        <v>57</v>
      </c>
      <c r="R268" t="s">
        <v>31</v>
      </c>
      <c r="T268" t="s">
        <v>41</v>
      </c>
      <c r="V268" t="s">
        <v>86</v>
      </c>
      <c r="X268" t="s">
        <v>86</v>
      </c>
      <c r="Z268" t="s">
        <v>57</v>
      </c>
      <c r="AB268" t="s">
        <v>268</v>
      </c>
      <c r="AD268" t="s">
        <v>65</v>
      </c>
      <c r="AF268" t="s">
        <v>710</v>
      </c>
      <c r="AH268" t="s">
        <v>42</v>
      </c>
      <c r="AJ268" t="s">
        <v>43</v>
      </c>
      <c r="AL268">
        <v>17450</v>
      </c>
      <c r="AN268">
        <v>1</v>
      </c>
      <c r="AP268">
        <v>20000</v>
      </c>
      <c r="AR268">
        <v>20000</v>
      </c>
      <c r="AU268" t="str">
        <f t="shared" si="4"/>
        <v>Omset lainnya</v>
      </c>
    </row>
    <row r="269" spans="2:47" ht="23.1" customHeight="1">
      <c r="B269" s="9">
        <v>46244</v>
      </c>
      <c r="D269" t="s">
        <v>706</v>
      </c>
      <c r="F269" t="s">
        <v>707</v>
      </c>
      <c r="H269" s="9">
        <v>46244</v>
      </c>
      <c r="J269" t="s">
        <v>54</v>
      </c>
      <c r="L269" t="s">
        <v>708</v>
      </c>
      <c r="N269" t="s">
        <v>709</v>
      </c>
      <c r="P269" t="s">
        <v>57</v>
      </c>
      <c r="R269" t="s">
        <v>31</v>
      </c>
      <c r="T269" t="s">
        <v>41</v>
      </c>
      <c r="V269" t="s">
        <v>86</v>
      </c>
      <c r="X269" t="s">
        <v>86</v>
      </c>
      <c r="Z269" t="s">
        <v>57</v>
      </c>
      <c r="AB269" t="s">
        <v>268</v>
      </c>
      <c r="AD269" t="s">
        <v>65</v>
      </c>
      <c r="AF269" t="s">
        <v>710</v>
      </c>
      <c r="AH269" t="s">
        <v>315</v>
      </c>
      <c r="AJ269" t="s">
        <v>316</v>
      </c>
      <c r="AL269">
        <v>13943</v>
      </c>
      <c r="AN269">
        <v>1</v>
      </c>
      <c r="AP269">
        <v>17000</v>
      </c>
      <c r="AR269">
        <v>17000</v>
      </c>
      <c r="AU269" t="str">
        <f t="shared" si="4"/>
        <v>Omset lainnya</v>
      </c>
    </row>
    <row r="270" spans="2:47" ht="23.1" customHeight="1">
      <c r="B270" s="9">
        <v>46244</v>
      </c>
      <c r="D270" t="s">
        <v>750</v>
      </c>
      <c r="F270" t="s">
        <v>751</v>
      </c>
      <c r="H270" s="9">
        <v>46244</v>
      </c>
      <c r="J270" t="s">
        <v>27</v>
      </c>
      <c r="L270" t="s">
        <v>752</v>
      </c>
      <c r="N270" t="s">
        <v>119</v>
      </c>
      <c r="P270" t="s">
        <v>57</v>
      </c>
      <c r="R270" t="s">
        <v>31</v>
      </c>
      <c r="T270" t="s">
        <v>32</v>
      </c>
      <c r="V270" t="s">
        <v>33</v>
      </c>
      <c r="X270" t="s">
        <v>33</v>
      </c>
      <c r="Z270" t="s">
        <v>57</v>
      </c>
      <c r="AB270" t="s">
        <v>753</v>
      </c>
      <c r="AD270" t="s">
        <v>50</v>
      </c>
      <c r="AF270" t="s">
        <v>754</v>
      </c>
      <c r="AH270" t="s">
        <v>620</v>
      </c>
      <c r="AJ270" t="s">
        <v>621</v>
      </c>
      <c r="AL270">
        <v>0</v>
      </c>
      <c r="AN270">
        <v>1</v>
      </c>
      <c r="AP270">
        <v>150000</v>
      </c>
      <c r="AR270">
        <v>150000</v>
      </c>
      <c r="AT270" t="s">
        <v>57</v>
      </c>
      <c r="AU270" t="str">
        <f t="shared" si="4"/>
        <v>Omset Normal</v>
      </c>
    </row>
    <row r="271" spans="2:47" ht="23.1" customHeight="1">
      <c r="B271" s="9">
        <v>46245</v>
      </c>
      <c r="D271" t="s">
        <v>755</v>
      </c>
      <c r="F271" t="s">
        <v>756</v>
      </c>
      <c r="H271" s="9">
        <v>46242</v>
      </c>
      <c r="J271" t="s">
        <v>27</v>
      </c>
      <c r="L271" t="s">
        <v>757</v>
      </c>
      <c r="N271" t="s">
        <v>758</v>
      </c>
      <c r="P271" t="s">
        <v>77</v>
      </c>
      <c r="R271" t="s">
        <v>173</v>
      </c>
      <c r="T271" t="s">
        <v>32</v>
      </c>
      <c r="V271" t="s">
        <v>33</v>
      </c>
      <c r="X271" t="s">
        <v>33</v>
      </c>
      <c r="Z271" t="s">
        <v>64</v>
      </c>
      <c r="AB271" t="s">
        <v>95</v>
      </c>
      <c r="AD271" t="s">
        <v>87</v>
      </c>
      <c r="AF271" t="s">
        <v>759</v>
      </c>
      <c r="AH271" t="s">
        <v>760</v>
      </c>
      <c r="AJ271" t="s">
        <v>761</v>
      </c>
      <c r="AL271">
        <v>0</v>
      </c>
      <c r="AN271">
        <v>1</v>
      </c>
      <c r="AP271">
        <v>330000</v>
      </c>
      <c r="AR271">
        <v>330000</v>
      </c>
      <c r="AT271" t="s">
        <v>64</v>
      </c>
      <c r="AU271" t="str">
        <f t="shared" si="4"/>
        <v>Omset Mati Total</v>
      </c>
    </row>
    <row r="272" spans="2:47" ht="23.1" customHeight="1">
      <c r="B272" s="9">
        <v>46244</v>
      </c>
      <c r="D272" t="s">
        <v>762</v>
      </c>
      <c r="F272" t="s">
        <v>763</v>
      </c>
      <c r="H272" s="9">
        <v>46244</v>
      </c>
      <c r="J272" t="s">
        <v>27</v>
      </c>
      <c r="L272" t="s">
        <v>764</v>
      </c>
      <c r="N272" t="s">
        <v>765</v>
      </c>
      <c r="P272" t="s">
        <v>64</v>
      </c>
      <c r="R272" t="s">
        <v>31</v>
      </c>
      <c r="T272" t="s">
        <v>32</v>
      </c>
      <c r="V272" t="s">
        <v>33</v>
      </c>
      <c r="X272" t="s">
        <v>33</v>
      </c>
      <c r="Z272" t="s">
        <v>64</v>
      </c>
      <c r="AB272" t="s">
        <v>753</v>
      </c>
      <c r="AD272" t="s">
        <v>87</v>
      </c>
      <c r="AF272" t="s">
        <v>766</v>
      </c>
      <c r="AH272" t="s">
        <v>620</v>
      </c>
      <c r="AJ272" t="s">
        <v>621</v>
      </c>
      <c r="AL272">
        <v>0</v>
      </c>
      <c r="AN272">
        <v>1</v>
      </c>
      <c r="AP272">
        <v>180000</v>
      </c>
      <c r="AR272">
        <v>180000</v>
      </c>
      <c r="AT272" t="s">
        <v>64</v>
      </c>
      <c r="AU272" t="str">
        <f t="shared" si="4"/>
        <v>Omset Normal</v>
      </c>
    </row>
    <row r="273" spans="2:47" ht="23.1" customHeight="1">
      <c r="B273" s="9">
        <v>46244</v>
      </c>
      <c r="D273" t="s">
        <v>762</v>
      </c>
      <c r="F273" t="s">
        <v>763</v>
      </c>
      <c r="H273" s="9">
        <v>46244</v>
      </c>
      <c r="J273" t="s">
        <v>27</v>
      </c>
      <c r="L273" t="s">
        <v>764</v>
      </c>
      <c r="N273" t="s">
        <v>765</v>
      </c>
      <c r="P273" t="s">
        <v>64</v>
      </c>
      <c r="R273" t="s">
        <v>31</v>
      </c>
      <c r="T273" t="s">
        <v>41</v>
      </c>
      <c r="V273" t="s">
        <v>33</v>
      </c>
      <c r="X273" t="s">
        <v>33</v>
      </c>
      <c r="Z273" t="s">
        <v>64</v>
      </c>
      <c r="AB273" t="s">
        <v>753</v>
      </c>
      <c r="AD273" t="s">
        <v>87</v>
      </c>
      <c r="AF273" t="s">
        <v>766</v>
      </c>
      <c r="AH273" t="s">
        <v>296</v>
      </c>
      <c r="AJ273" t="s">
        <v>297</v>
      </c>
      <c r="AL273">
        <v>19300</v>
      </c>
      <c r="AN273">
        <v>1</v>
      </c>
      <c r="AP273">
        <v>20000</v>
      </c>
      <c r="AR273">
        <v>20000</v>
      </c>
      <c r="AT273" t="s">
        <v>64</v>
      </c>
      <c r="AU273" t="str">
        <f t="shared" si="4"/>
        <v>Omset lainnya</v>
      </c>
    </row>
    <row r="274" spans="2:47" ht="23.1" customHeight="1">
      <c r="B274" s="9">
        <v>46244</v>
      </c>
      <c r="D274" t="s">
        <v>683</v>
      </c>
      <c r="F274" t="s">
        <v>684</v>
      </c>
      <c r="H274" s="9">
        <v>46244</v>
      </c>
      <c r="J274" t="s">
        <v>27</v>
      </c>
      <c r="L274" t="s">
        <v>685</v>
      </c>
      <c r="N274" t="s">
        <v>686</v>
      </c>
      <c r="P274" t="s">
        <v>77</v>
      </c>
      <c r="R274" t="s">
        <v>31</v>
      </c>
      <c r="T274" t="s">
        <v>94</v>
      </c>
      <c r="V274" t="s">
        <v>49</v>
      </c>
      <c r="X274" t="s">
        <v>49</v>
      </c>
      <c r="Z274" t="s">
        <v>77</v>
      </c>
      <c r="AB274" t="s">
        <v>35</v>
      </c>
      <c r="AD274" t="s">
        <v>128</v>
      </c>
      <c r="AF274" t="s">
        <v>687</v>
      </c>
      <c r="AH274" t="s">
        <v>523</v>
      </c>
      <c r="AJ274" t="s">
        <v>524</v>
      </c>
      <c r="AL274">
        <v>103000</v>
      </c>
      <c r="AN274">
        <v>1</v>
      </c>
      <c r="AP274">
        <v>114000</v>
      </c>
      <c r="AR274">
        <v>114000</v>
      </c>
      <c r="AU274" t="str">
        <f t="shared" si="4"/>
        <v>Omset lainnya</v>
      </c>
    </row>
    <row r="275" spans="2:47" ht="23.1" customHeight="1">
      <c r="B275" s="9">
        <v>46245</v>
      </c>
      <c r="D275" t="s">
        <v>755</v>
      </c>
      <c r="F275" t="s">
        <v>756</v>
      </c>
      <c r="H275" s="9">
        <v>46242</v>
      </c>
      <c r="J275" t="s">
        <v>27</v>
      </c>
      <c r="L275" t="s">
        <v>757</v>
      </c>
      <c r="N275" t="s">
        <v>758</v>
      </c>
      <c r="P275" t="s">
        <v>77</v>
      </c>
      <c r="R275" t="s">
        <v>173</v>
      </c>
      <c r="T275" t="s">
        <v>41</v>
      </c>
      <c r="V275" t="s">
        <v>33</v>
      </c>
      <c r="X275" t="s">
        <v>33</v>
      </c>
      <c r="Z275" t="s">
        <v>64</v>
      </c>
      <c r="AB275" t="s">
        <v>95</v>
      </c>
      <c r="AD275" t="s">
        <v>87</v>
      </c>
      <c r="AF275" t="s">
        <v>759</v>
      </c>
      <c r="AH275" t="s">
        <v>42</v>
      </c>
      <c r="AJ275" t="s">
        <v>43</v>
      </c>
      <c r="AL275">
        <v>17450</v>
      </c>
      <c r="AN275">
        <v>1</v>
      </c>
      <c r="AP275">
        <v>20000</v>
      </c>
      <c r="AR275">
        <v>20000</v>
      </c>
      <c r="AT275" t="s">
        <v>64</v>
      </c>
      <c r="AU275" t="str">
        <f t="shared" si="4"/>
        <v>Omset lainnya</v>
      </c>
    </row>
    <row r="276" spans="2:47" ht="14.1" customHeight="1">
      <c r="B276" s="9">
        <v>46245</v>
      </c>
      <c r="D276" t="s">
        <v>767</v>
      </c>
      <c r="F276" t="s">
        <v>768</v>
      </c>
      <c r="H276" s="9">
        <v>46244</v>
      </c>
      <c r="J276" t="s">
        <v>27</v>
      </c>
      <c r="L276" t="s">
        <v>769</v>
      </c>
      <c r="N276" t="s">
        <v>770</v>
      </c>
      <c r="P276" t="s">
        <v>64</v>
      </c>
      <c r="R276" t="s">
        <v>31</v>
      </c>
      <c r="T276" t="s">
        <v>32</v>
      </c>
      <c r="V276" t="s">
        <v>49</v>
      </c>
      <c r="X276" t="s">
        <v>49</v>
      </c>
      <c r="Z276" t="s">
        <v>64</v>
      </c>
      <c r="AB276" t="s">
        <v>35</v>
      </c>
      <c r="AD276" t="s">
        <v>65</v>
      </c>
      <c r="AF276" t="s">
        <v>771</v>
      </c>
      <c r="AH276" t="s">
        <v>38</v>
      </c>
      <c r="AJ276" t="s">
        <v>39</v>
      </c>
      <c r="AL276">
        <v>0</v>
      </c>
      <c r="AN276">
        <v>1</v>
      </c>
      <c r="AP276">
        <v>722000</v>
      </c>
      <c r="AR276">
        <v>722000</v>
      </c>
      <c r="AT276" t="s">
        <v>64</v>
      </c>
      <c r="AU276" t="str">
        <f t="shared" si="4"/>
        <v>Omset Interface</v>
      </c>
    </row>
    <row r="277" spans="2:47" ht="14.1" customHeight="1">
      <c r="B277" s="9">
        <v>46245</v>
      </c>
      <c r="D277" t="s">
        <v>767</v>
      </c>
      <c r="F277" t="s">
        <v>768</v>
      </c>
      <c r="H277" s="9">
        <v>46244</v>
      </c>
      <c r="J277" t="s">
        <v>27</v>
      </c>
      <c r="L277" t="s">
        <v>769</v>
      </c>
      <c r="N277" t="s">
        <v>770</v>
      </c>
      <c r="P277" t="s">
        <v>64</v>
      </c>
      <c r="R277" t="s">
        <v>31</v>
      </c>
      <c r="T277" t="s">
        <v>41</v>
      </c>
      <c r="V277" t="s">
        <v>49</v>
      </c>
      <c r="X277" t="s">
        <v>49</v>
      </c>
      <c r="Z277" t="s">
        <v>64</v>
      </c>
      <c r="AB277" t="s">
        <v>35</v>
      </c>
      <c r="AD277" t="s">
        <v>65</v>
      </c>
      <c r="AF277" t="s">
        <v>771</v>
      </c>
      <c r="AH277" t="s">
        <v>315</v>
      </c>
      <c r="AJ277" t="s">
        <v>316</v>
      </c>
      <c r="AL277">
        <v>13943</v>
      </c>
      <c r="AN277">
        <v>1</v>
      </c>
      <c r="AP277">
        <v>20000</v>
      </c>
      <c r="AR277">
        <v>20000</v>
      </c>
      <c r="AT277" t="s">
        <v>64</v>
      </c>
      <c r="AU277" t="str">
        <f t="shared" si="4"/>
        <v>Omset lainnya</v>
      </c>
    </row>
    <row r="278" spans="2:47" ht="23.1" customHeight="1">
      <c r="B278" s="9">
        <v>46245</v>
      </c>
      <c r="D278" t="s">
        <v>767</v>
      </c>
      <c r="F278" t="s">
        <v>768</v>
      </c>
      <c r="H278" s="9">
        <v>46244</v>
      </c>
      <c r="J278" t="s">
        <v>27</v>
      </c>
      <c r="L278" t="s">
        <v>769</v>
      </c>
      <c r="N278" t="s">
        <v>770</v>
      </c>
      <c r="P278" t="s">
        <v>64</v>
      </c>
      <c r="R278" t="s">
        <v>31</v>
      </c>
      <c r="T278" t="s">
        <v>41</v>
      </c>
      <c r="V278" t="s">
        <v>49</v>
      </c>
      <c r="X278" t="s">
        <v>49</v>
      </c>
      <c r="Z278" t="s">
        <v>64</v>
      </c>
      <c r="AB278" t="s">
        <v>35</v>
      </c>
      <c r="AD278" t="s">
        <v>65</v>
      </c>
      <c r="AF278" t="s">
        <v>771</v>
      </c>
      <c r="AH278" t="s">
        <v>42</v>
      </c>
      <c r="AJ278" t="s">
        <v>43</v>
      </c>
      <c r="AL278">
        <v>17450</v>
      </c>
      <c r="AN278">
        <v>1</v>
      </c>
      <c r="AP278">
        <v>20000</v>
      </c>
      <c r="AR278">
        <v>20000</v>
      </c>
      <c r="AT278" t="s">
        <v>64</v>
      </c>
      <c r="AU278" t="str">
        <f t="shared" si="4"/>
        <v>Omset lainnya</v>
      </c>
    </row>
    <row r="279" spans="2:47" ht="23.1" customHeight="1">
      <c r="B279" s="9">
        <v>46245</v>
      </c>
      <c r="D279" t="s">
        <v>772</v>
      </c>
      <c r="F279" t="s">
        <v>773</v>
      </c>
      <c r="H279" s="9">
        <v>46244</v>
      </c>
      <c r="J279" t="s">
        <v>27</v>
      </c>
      <c r="L279" t="s">
        <v>774</v>
      </c>
      <c r="N279" t="s">
        <v>775</v>
      </c>
      <c r="P279" t="s">
        <v>57</v>
      </c>
      <c r="R279" t="s">
        <v>31</v>
      </c>
      <c r="T279" t="s">
        <v>94</v>
      </c>
      <c r="V279" t="s">
        <v>86</v>
      </c>
      <c r="X279" t="s">
        <v>86</v>
      </c>
      <c r="Z279" t="s">
        <v>64</v>
      </c>
      <c r="AB279" t="s">
        <v>35</v>
      </c>
      <c r="AD279" t="s">
        <v>65</v>
      </c>
      <c r="AF279" t="s">
        <v>776</v>
      </c>
      <c r="AH279" t="s">
        <v>777</v>
      </c>
      <c r="AJ279" t="s">
        <v>778</v>
      </c>
      <c r="AL279">
        <v>550000</v>
      </c>
      <c r="AN279">
        <v>1</v>
      </c>
      <c r="AP279">
        <v>600000</v>
      </c>
      <c r="AR279">
        <v>600000</v>
      </c>
      <c r="AU279" t="str">
        <f t="shared" si="4"/>
        <v>Omset lainnya</v>
      </c>
    </row>
    <row r="280" spans="2:47" ht="23.1" customHeight="1">
      <c r="B280" s="9">
        <v>46245</v>
      </c>
      <c r="D280" t="s">
        <v>772</v>
      </c>
      <c r="F280" t="s">
        <v>773</v>
      </c>
      <c r="H280" s="9">
        <v>46244</v>
      </c>
      <c r="J280" t="s">
        <v>27</v>
      </c>
      <c r="L280" t="s">
        <v>774</v>
      </c>
      <c r="N280" t="s">
        <v>775</v>
      </c>
      <c r="P280" t="s">
        <v>57</v>
      </c>
      <c r="R280" t="s">
        <v>31</v>
      </c>
      <c r="T280" t="s">
        <v>32</v>
      </c>
      <c r="V280" t="s">
        <v>86</v>
      </c>
      <c r="X280" t="s">
        <v>86</v>
      </c>
      <c r="Z280" t="s">
        <v>64</v>
      </c>
      <c r="AB280" t="s">
        <v>35</v>
      </c>
      <c r="AD280" t="s">
        <v>65</v>
      </c>
      <c r="AF280" t="s">
        <v>776</v>
      </c>
      <c r="AH280" t="s">
        <v>38</v>
      </c>
      <c r="AJ280" t="s">
        <v>39</v>
      </c>
      <c r="AL280">
        <v>0</v>
      </c>
      <c r="AN280">
        <v>1</v>
      </c>
      <c r="AP280">
        <v>230000</v>
      </c>
      <c r="AR280">
        <v>230000</v>
      </c>
      <c r="AU280" t="str">
        <f t="shared" si="4"/>
        <v>Omset Interface</v>
      </c>
    </row>
    <row r="281" spans="2:47" ht="23.1" customHeight="1">
      <c r="B281" s="9">
        <v>46245</v>
      </c>
      <c r="D281" t="s">
        <v>772</v>
      </c>
      <c r="F281" t="s">
        <v>773</v>
      </c>
      <c r="H281" s="9">
        <v>46244</v>
      </c>
      <c r="J281" t="s">
        <v>27</v>
      </c>
      <c r="L281" t="s">
        <v>774</v>
      </c>
      <c r="N281" t="s">
        <v>775</v>
      </c>
      <c r="P281" t="s">
        <v>57</v>
      </c>
      <c r="R281" t="s">
        <v>31</v>
      </c>
      <c r="T281" t="s">
        <v>41</v>
      </c>
      <c r="V281" t="s">
        <v>86</v>
      </c>
      <c r="X281" t="s">
        <v>86</v>
      </c>
      <c r="Z281" t="s">
        <v>64</v>
      </c>
      <c r="AB281" t="s">
        <v>35</v>
      </c>
      <c r="AD281" t="s">
        <v>65</v>
      </c>
      <c r="AF281" t="s">
        <v>776</v>
      </c>
      <c r="AH281" t="s">
        <v>42</v>
      </c>
      <c r="AJ281" t="s">
        <v>43</v>
      </c>
      <c r="AL281">
        <v>17450</v>
      </c>
      <c r="AN281">
        <v>1</v>
      </c>
      <c r="AP281">
        <v>20000</v>
      </c>
      <c r="AR281">
        <v>20000</v>
      </c>
      <c r="AU281" t="str">
        <f t="shared" si="4"/>
        <v>Omset lainnya</v>
      </c>
    </row>
    <row r="282" spans="2:47" ht="23.1" customHeight="1">
      <c r="B282" s="9">
        <v>46243</v>
      </c>
      <c r="D282" t="s">
        <v>630</v>
      </c>
      <c r="F282" t="s">
        <v>631</v>
      </c>
      <c r="H282" s="9">
        <v>46243</v>
      </c>
      <c r="J282" t="s">
        <v>54</v>
      </c>
      <c r="L282" t="s">
        <v>632</v>
      </c>
      <c r="N282" t="s">
        <v>466</v>
      </c>
      <c r="P282" t="s">
        <v>64</v>
      </c>
      <c r="R282" t="s">
        <v>31</v>
      </c>
      <c r="T282" t="s">
        <v>94</v>
      </c>
      <c r="V282" t="s">
        <v>86</v>
      </c>
      <c r="X282" t="s">
        <v>86</v>
      </c>
      <c r="Z282" t="s">
        <v>64</v>
      </c>
      <c r="AB282" t="s">
        <v>186</v>
      </c>
      <c r="AD282" t="s">
        <v>50</v>
      </c>
      <c r="AF282" t="s">
        <v>633</v>
      </c>
      <c r="AH282" t="s">
        <v>779</v>
      </c>
      <c r="AJ282" t="s">
        <v>780</v>
      </c>
      <c r="AL282">
        <v>5000</v>
      </c>
      <c r="AN282">
        <v>1</v>
      </c>
      <c r="AP282">
        <v>10000</v>
      </c>
      <c r="AR282">
        <v>10000</v>
      </c>
      <c r="AT282" t="s">
        <v>64</v>
      </c>
      <c r="AU282" t="str">
        <f t="shared" si="4"/>
        <v>Omset lainnya</v>
      </c>
    </row>
    <row r="283" spans="2:47" ht="23.1" customHeight="1">
      <c r="B283" s="9">
        <v>46243</v>
      </c>
      <c r="D283" t="s">
        <v>630</v>
      </c>
      <c r="F283" t="s">
        <v>631</v>
      </c>
      <c r="H283" s="9">
        <v>46243</v>
      </c>
      <c r="J283" t="s">
        <v>54</v>
      </c>
      <c r="L283" t="s">
        <v>632</v>
      </c>
      <c r="N283" t="s">
        <v>466</v>
      </c>
      <c r="P283" t="s">
        <v>64</v>
      </c>
      <c r="R283" t="s">
        <v>31</v>
      </c>
      <c r="T283" t="s">
        <v>94</v>
      </c>
      <c r="V283" t="s">
        <v>86</v>
      </c>
      <c r="X283" t="s">
        <v>86</v>
      </c>
      <c r="Z283" t="s">
        <v>64</v>
      </c>
      <c r="AB283" t="s">
        <v>186</v>
      </c>
      <c r="AD283" t="s">
        <v>50</v>
      </c>
      <c r="AF283" t="s">
        <v>633</v>
      </c>
      <c r="AH283" t="s">
        <v>781</v>
      </c>
      <c r="AJ283" t="s">
        <v>782</v>
      </c>
      <c r="AL283">
        <v>5000</v>
      </c>
      <c r="AN283">
        <v>1</v>
      </c>
      <c r="AP283">
        <v>10000</v>
      </c>
      <c r="AR283">
        <v>10000</v>
      </c>
      <c r="AT283" t="s">
        <v>64</v>
      </c>
      <c r="AU283" t="str">
        <f t="shared" si="4"/>
        <v>Omset lainnya</v>
      </c>
    </row>
    <row r="284" spans="2:47" ht="14.1" customHeight="1">
      <c r="B284" s="9">
        <v>46243</v>
      </c>
      <c r="D284" t="s">
        <v>630</v>
      </c>
      <c r="F284" t="s">
        <v>631</v>
      </c>
      <c r="H284" s="9">
        <v>46243</v>
      </c>
      <c r="J284" t="s">
        <v>54</v>
      </c>
      <c r="L284" t="s">
        <v>632</v>
      </c>
      <c r="N284" t="s">
        <v>466</v>
      </c>
      <c r="P284" t="s">
        <v>64</v>
      </c>
      <c r="R284" t="s">
        <v>31</v>
      </c>
      <c r="T284" t="s">
        <v>94</v>
      </c>
      <c r="V284" t="s">
        <v>86</v>
      </c>
      <c r="X284" t="s">
        <v>86</v>
      </c>
      <c r="Z284" t="s">
        <v>64</v>
      </c>
      <c r="AB284" t="s">
        <v>186</v>
      </c>
      <c r="AD284" t="s">
        <v>50</v>
      </c>
      <c r="AF284" t="s">
        <v>633</v>
      </c>
      <c r="AH284" t="s">
        <v>783</v>
      </c>
      <c r="AJ284" t="s">
        <v>784</v>
      </c>
      <c r="AL284">
        <v>5000</v>
      </c>
      <c r="AN284">
        <v>1</v>
      </c>
      <c r="AP284">
        <v>10000</v>
      </c>
      <c r="AR284">
        <v>10000</v>
      </c>
      <c r="AT284" t="s">
        <v>64</v>
      </c>
      <c r="AU284" t="str">
        <f t="shared" si="4"/>
        <v>Omset lainnya</v>
      </c>
    </row>
    <row r="285" spans="2:47" ht="23.1" customHeight="1">
      <c r="B285" s="9">
        <v>46244</v>
      </c>
      <c r="D285" t="s">
        <v>785</v>
      </c>
      <c r="F285" t="s">
        <v>786</v>
      </c>
      <c r="H285" s="9">
        <v>46242</v>
      </c>
      <c r="J285" t="s">
        <v>54</v>
      </c>
      <c r="L285" t="s">
        <v>487</v>
      </c>
      <c r="N285" t="s">
        <v>488</v>
      </c>
      <c r="P285" t="s">
        <v>57</v>
      </c>
      <c r="R285" t="s">
        <v>31</v>
      </c>
      <c r="T285" t="s">
        <v>94</v>
      </c>
      <c r="V285" t="s">
        <v>86</v>
      </c>
      <c r="X285" t="s">
        <v>86</v>
      </c>
      <c r="Z285" t="s">
        <v>64</v>
      </c>
      <c r="AB285" t="s">
        <v>111</v>
      </c>
      <c r="AD285" t="s">
        <v>65</v>
      </c>
      <c r="AF285" t="s">
        <v>489</v>
      </c>
      <c r="AH285" t="s">
        <v>787</v>
      </c>
      <c r="AJ285" t="s">
        <v>788</v>
      </c>
      <c r="AL285">
        <v>35000</v>
      </c>
      <c r="AN285">
        <v>1</v>
      </c>
      <c r="AP285">
        <v>85000</v>
      </c>
      <c r="AR285">
        <v>85000</v>
      </c>
      <c r="AT285" t="s">
        <v>57</v>
      </c>
      <c r="AU285" t="str">
        <f t="shared" si="4"/>
        <v>Omset lainnya</v>
      </c>
    </row>
    <row r="286" spans="2:47" ht="23.1" customHeight="1">
      <c r="B286" s="9">
        <v>46244</v>
      </c>
      <c r="D286" t="s">
        <v>688</v>
      </c>
      <c r="F286" t="s">
        <v>689</v>
      </c>
      <c r="H286" s="9">
        <v>46237</v>
      </c>
      <c r="J286" t="s">
        <v>27</v>
      </c>
      <c r="L286" t="s">
        <v>690</v>
      </c>
      <c r="N286" t="s">
        <v>691</v>
      </c>
      <c r="P286" t="s">
        <v>64</v>
      </c>
      <c r="R286" t="s">
        <v>31</v>
      </c>
      <c r="T286" t="s">
        <v>32</v>
      </c>
      <c r="V286" t="s">
        <v>33</v>
      </c>
      <c r="X286" t="s">
        <v>33</v>
      </c>
      <c r="Z286" t="s">
        <v>64</v>
      </c>
      <c r="AB286" t="s">
        <v>692</v>
      </c>
      <c r="AD286" t="s">
        <v>693</v>
      </c>
      <c r="AF286" t="s">
        <v>694</v>
      </c>
      <c r="AH286" t="s">
        <v>789</v>
      </c>
      <c r="AJ286" t="s">
        <v>790</v>
      </c>
      <c r="AL286">
        <v>0</v>
      </c>
      <c r="AN286">
        <v>1</v>
      </c>
      <c r="AP286">
        <v>200000</v>
      </c>
      <c r="AR286">
        <v>200000</v>
      </c>
      <c r="AT286" t="s">
        <v>64</v>
      </c>
      <c r="AU286" t="str">
        <f t="shared" si="4"/>
        <v>Omset Normal</v>
      </c>
    </row>
    <row r="287" spans="2:47" ht="23.1" customHeight="1">
      <c r="B287" s="9">
        <v>46244</v>
      </c>
      <c r="D287" t="s">
        <v>688</v>
      </c>
      <c r="F287" t="s">
        <v>689</v>
      </c>
      <c r="H287" s="9">
        <v>46237</v>
      </c>
      <c r="J287" t="s">
        <v>27</v>
      </c>
      <c r="L287" t="s">
        <v>690</v>
      </c>
      <c r="N287" t="s">
        <v>691</v>
      </c>
      <c r="P287" t="s">
        <v>64</v>
      </c>
      <c r="R287" t="s">
        <v>31</v>
      </c>
      <c r="T287" t="s">
        <v>32</v>
      </c>
      <c r="V287" t="s">
        <v>33</v>
      </c>
      <c r="X287" t="s">
        <v>33</v>
      </c>
      <c r="Z287" t="s">
        <v>64</v>
      </c>
      <c r="AB287" t="s">
        <v>692</v>
      </c>
      <c r="AD287" t="s">
        <v>693</v>
      </c>
      <c r="AF287" t="s">
        <v>694</v>
      </c>
      <c r="AH287" t="s">
        <v>355</v>
      </c>
      <c r="AJ287" t="s">
        <v>356</v>
      </c>
      <c r="AL287">
        <v>0</v>
      </c>
      <c r="AN287">
        <v>1</v>
      </c>
      <c r="AP287">
        <v>290000</v>
      </c>
      <c r="AR287">
        <v>290000</v>
      </c>
      <c r="AT287" t="s">
        <v>64</v>
      </c>
      <c r="AU287" t="str">
        <f t="shared" si="4"/>
        <v>Omset Normal</v>
      </c>
    </row>
    <row r="288" spans="2:47" ht="23.1" customHeight="1">
      <c r="B288" s="9">
        <v>46244</v>
      </c>
      <c r="D288" t="s">
        <v>688</v>
      </c>
      <c r="F288" t="s">
        <v>689</v>
      </c>
      <c r="H288" s="9">
        <v>46237</v>
      </c>
      <c r="J288" t="s">
        <v>27</v>
      </c>
      <c r="L288" t="s">
        <v>690</v>
      </c>
      <c r="N288" t="s">
        <v>691</v>
      </c>
      <c r="P288" t="s">
        <v>64</v>
      </c>
      <c r="R288" t="s">
        <v>31</v>
      </c>
      <c r="T288" t="s">
        <v>94</v>
      </c>
      <c r="V288" t="s">
        <v>33</v>
      </c>
      <c r="X288" t="s">
        <v>33</v>
      </c>
      <c r="Z288" t="s">
        <v>64</v>
      </c>
      <c r="AB288" t="s">
        <v>692</v>
      </c>
      <c r="AD288" t="s">
        <v>693</v>
      </c>
      <c r="AF288" t="s">
        <v>694</v>
      </c>
      <c r="AH288" t="s">
        <v>791</v>
      </c>
      <c r="AJ288" t="s">
        <v>792</v>
      </c>
      <c r="AL288">
        <v>248400</v>
      </c>
      <c r="AN288">
        <v>1</v>
      </c>
      <c r="AP288">
        <v>190000</v>
      </c>
      <c r="AR288">
        <v>190000</v>
      </c>
      <c r="AT288" t="s">
        <v>64</v>
      </c>
      <c r="AU288" t="str">
        <f t="shared" si="4"/>
        <v>Omset lainnya</v>
      </c>
    </row>
    <row r="289" spans="2:47" ht="23.1" customHeight="1">
      <c r="B289" s="9">
        <v>46244</v>
      </c>
      <c r="D289" t="s">
        <v>793</v>
      </c>
      <c r="F289" t="s">
        <v>794</v>
      </c>
      <c r="H289" s="9">
        <v>46244</v>
      </c>
      <c r="J289" t="s">
        <v>27</v>
      </c>
      <c r="L289" t="s">
        <v>795</v>
      </c>
      <c r="N289" t="s">
        <v>796</v>
      </c>
      <c r="P289" t="s">
        <v>64</v>
      </c>
      <c r="R289" t="s">
        <v>797</v>
      </c>
      <c r="T289" t="s">
        <v>798</v>
      </c>
      <c r="Z289" t="s">
        <v>64</v>
      </c>
      <c r="AB289" t="s">
        <v>178</v>
      </c>
      <c r="AD289" t="s">
        <v>799</v>
      </c>
      <c r="AF289" t="s">
        <v>800</v>
      </c>
      <c r="AH289" t="s">
        <v>801</v>
      </c>
      <c r="AJ289" t="s">
        <v>802</v>
      </c>
      <c r="AL289">
        <v>3925799</v>
      </c>
      <c r="AN289">
        <v>1</v>
      </c>
      <c r="AP289">
        <v>4225000</v>
      </c>
      <c r="AR289">
        <v>4225000</v>
      </c>
      <c r="AT289" t="s">
        <v>64</v>
      </c>
      <c r="AU289" t="str">
        <f t="shared" si="4"/>
        <v>Omset lainnya</v>
      </c>
    </row>
    <row r="290" spans="2:47" ht="23.1" customHeight="1">
      <c r="B290" s="9">
        <v>46244</v>
      </c>
      <c r="D290" t="s">
        <v>700</v>
      </c>
      <c r="F290" t="s">
        <v>701</v>
      </c>
      <c r="H290" s="9">
        <v>46244</v>
      </c>
      <c r="J290" t="s">
        <v>27</v>
      </c>
      <c r="L290" t="s">
        <v>702</v>
      </c>
      <c r="N290" t="s">
        <v>703</v>
      </c>
      <c r="P290" t="s">
        <v>77</v>
      </c>
      <c r="R290" t="s">
        <v>31</v>
      </c>
      <c r="T290" t="s">
        <v>32</v>
      </c>
      <c r="V290" t="s">
        <v>49</v>
      </c>
      <c r="X290" t="s">
        <v>49</v>
      </c>
      <c r="Z290" t="s">
        <v>64</v>
      </c>
      <c r="AB290" t="s">
        <v>35</v>
      </c>
      <c r="AD290" t="s">
        <v>50</v>
      </c>
      <c r="AF290" t="s">
        <v>655</v>
      </c>
      <c r="AH290" t="s">
        <v>38</v>
      </c>
      <c r="AJ290" t="s">
        <v>39</v>
      </c>
      <c r="AL290">
        <v>0</v>
      </c>
      <c r="AN290">
        <v>1</v>
      </c>
      <c r="AP290">
        <v>77500</v>
      </c>
      <c r="AR290">
        <v>77500</v>
      </c>
      <c r="AT290" t="s">
        <v>77</v>
      </c>
      <c r="AU290" t="str">
        <f t="shared" si="4"/>
        <v>Omset Interface</v>
      </c>
    </row>
    <row r="291" spans="2:47" ht="23.1" customHeight="1">
      <c r="B291" s="9">
        <v>46244</v>
      </c>
      <c r="D291" t="s">
        <v>700</v>
      </c>
      <c r="F291" t="s">
        <v>701</v>
      </c>
      <c r="H291" s="9">
        <v>46244</v>
      </c>
      <c r="J291" t="s">
        <v>27</v>
      </c>
      <c r="L291" t="s">
        <v>702</v>
      </c>
      <c r="N291" t="s">
        <v>703</v>
      </c>
      <c r="P291" t="s">
        <v>77</v>
      </c>
      <c r="R291" t="s">
        <v>31</v>
      </c>
      <c r="T291" t="s">
        <v>41</v>
      </c>
      <c r="V291" t="s">
        <v>49</v>
      </c>
      <c r="X291" t="s">
        <v>49</v>
      </c>
      <c r="Z291" t="s">
        <v>64</v>
      </c>
      <c r="AB291" t="s">
        <v>35</v>
      </c>
      <c r="AD291" t="s">
        <v>50</v>
      </c>
      <c r="AF291" t="s">
        <v>655</v>
      </c>
      <c r="AH291" t="s">
        <v>42</v>
      </c>
      <c r="AJ291" t="s">
        <v>43</v>
      </c>
      <c r="AL291">
        <v>17450</v>
      </c>
      <c r="AN291">
        <v>1</v>
      </c>
      <c r="AP291">
        <v>20000</v>
      </c>
      <c r="AR291">
        <v>20000</v>
      </c>
      <c r="AT291" t="s">
        <v>77</v>
      </c>
      <c r="AU291" t="str">
        <f t="shared" si="4"/>
        <v>Omset lainnya</v>
      </c>
    </row>
    <row r="292" spans="2:47" ht="23.1" customHeight="1">
      <c r="B292" s="9">
        <v>46244</v>
      </c>
      <c r="D292" t="s">
        <v>700</v>
      </c>
      <c r="F292" t="s">
        <v>701</v>
      </c>
      <c r="H292" s="9">
        <v>46244</v>
      </c>
      <c r="J292" t="s">
        <v>27</v>
      </c>
      <c r="L292" t="s">
        <v>702</v>
      </c>
      <c r="N292" t="s">
        <v>703</v>
      </c>
      <c r="P292" t="s">
        <v>77</v>
      </c>
      <c r="R292" t="s">
        <v>31</v>
      </c>
      <c r="T292" t="s">
        <v>32</v>
      </c>
      <c r="V292" t="s">
        <v>49</v>
      </c>
      <c r="X292" t="s">
        <v>49</v>
      </c>
      <c r="Z292" t="s">
        <v>64</v>
      </c>
      <c r="AB292" t="s">
        <v>35</v>
      </c>
      <c r="AD292" t="s">
        <v>50</v>
      </c>
      <c r="AF292" t="s">
        <v>655</v>
      </c>
      <c r="AH292" t="s">
        <v>114</v>
      </c>
      <c r="AJ292" t="s">
        <v>115</v>
      </c>
      <c r="AL292">
        <v>0</v>
      </c>
      <c r="AN292">
        <v>1</v>
      </c>
      <c r="AP292">
        <v>87500</v>
      </c>
      <c r="AR292">
        <v>87500</v>
      </c>
      <c r="AT292" t="s">
        <v>77</v>
      </c>
      <c r="AU292" t="str">
        <f t="shared" si="4"/>
        <v>Omset Normal</v>
      </c>
    </row>
    <row r="293" spans="2:47" ht="23.1" customHeight="1">
      <c r="B293" s="9">
        <v>46244</v>
      </c>
      <c r="D293" t="s">
        <v>713</v>
      </c>
      <c r="F293" t="s">
        <v>714</v>
      </c>
      <c r="H293" s="9">
        <v>46244</v>
      </c>
      <c r="J293" t="s">
        <v>27</v>
      </c>
      <c r="L293" t="s">
        <v>715</v>
      </c>
      <c r="N293" t="s">
        <v>185</v>
      </c>
      <c r="P293" t="s">
        <v>64</v>
      </c>
      <c r="R293" t="s">
        <v>31</v>
      </c>
      <c r="T293" t="s">
        <v>32</v>
      </c>
      <c r="V293" t="s">
        <v>33</v>
      </c>
      <c r="X293" t="s">
        <v>33</v>
      </c>
      <c r="Z293" t="s">
        <v>64</v>
      </c>
      <c r="AB293" t="s">
        <v>268</v>
      </c>
      <c r="AD293" t="s">
        <v>87</v>
      </c>
      <c r="AF293" t="s">
        <v>716</v>
      </c>
      <c r="AH293" t="s">
        <v>270</v>
      </c>
      <c r="AJ293" t="s">
        <v>271</v>
      </c>
      <c r="AL293">
        <v>0</v>
      </c>
      <c r="AN293">
        <v>1</v>
      </c>
      <c r="AP293">
        <v>171000</v>
      </c>
      <c r="AR293">
        <v>171000</v>
      </c>
      <c r="AT293" t="s">
        <v>64</v>
      </c>
      <c r="AU293" t="str">
        <f t="shared" si="4"/>
        <v>Omset Interface</v>
      </c>
    </row>
    <row r="294" spans="2:47" ht="23.1" customHeight="1">
      <c r="B294" s="9">
        <v>46244</v>
      </c>
      <c r="D294" t="s">
        <v>713</v>
      </c>
      <c r="F294" t="s">
        <v>714</v>
      </c>
      <c r="H294" s="9">
        <v>46244</v>
      </c>
      <c r="J294" t="s">
        <v>27</v>
      </c>
      <c r="L294" t="s">
        <v>715</v>
      </c>
      <c r="N294" t="s">
        <v>185</v>
      </c>
      <c r="P294" t="s">
        <v>64</v>
      </c>
      <c r="R294" t="s">
        <v>31</v>
      </c>
      <c r="T294" t="s">
        <v>41</v>
      </c>
      <c r="V294" t="s">
        <v>33</v>
      </c>
      <c r="X294" t="s">
        <v>33</v>
      </c>
      <c r="Z294" t="s">
        <v>64</v>
      </c>
      <c r="AB294" t="s">
        <v>268</v>
      </c>
      <c r="AD294" t="s">
        <v>87</v>
      </c>
      <c r="AF294" t="s">
        <v>716</v>
      </c>
      <c r="AH294" t="s">
        <v>296</v>
      </c>
      <c r="AJ294" t="s">
        <v>297</v>
      </c>
      <c r="AL294">
        <v>19300</v>
      </c>
      <c r="AN294">
        <v>1</v>
      </c>
      <c r="AP294">
        <v>20000</v>
      </c>
      <c r="AR294">
        <v>20000</v>
      </c>
      <c r="AT294" t="s">
        <v>64</v>
      </c>
      <c r="AU294" t="str">
        <f t="shared" si="4"/>
        <v>Omset lainnya</v>
      </c>
    </row>
    <row r="295" spans="2:47" ht="23.1" customHeight="1">
      <c r="B295" s="9">
        <v>46244</v>
      </c>
      <c r="D295" t="s">
        <v>803</v>
      </c>
      <c r="F295" t="s">
        <v>804</v>
      </c>
      <c r="H295" s="9">
        <v>46244</v>
      </c>
      <c r="J295" t="s">
        <v>27</v>
      </c>
      <c r="L295" t="s">
        <v>769</v>
      </c>
      <c r="N295" t="s">
        <v>770</v>
      </c>
      <c r="P295" t="s">
        <v>57</v>
      </c>
      <c r="R295" t="s">
        <v>177</v>
      </c>
      <c r="T295" t="s">
        <v>41</v>
      </c>
      <c r="Z295" t="s">
        <v>57</v>
      </c>
      <c r="AB295" t="s">
        <v>178</v>
      </c>
      <c r="AD295" t="s">
        <v>87</v>
      </c>
      <c r="AF295" t="s">
        <v>805</v>
      </c>
      <c r="AH295" t="s">
        <v>806</v>
      </c>
      <c r="AJ295" t="s">
        <v>807</v>
      </c>
      <c r="AL295">
        <v>44700</v>
      </c>
      <c r="AN295">
        <v>1</v>
      </c>
      <c r="AP295">
        <v>75000</v>
      </c>
      <c r="AR295">
        <v>75000</v>
      </c>
      <c r="AT295" t="s">
        <v>64</v>
      </c>
      <c r="AU295" t="str">
        <f t="shared" si="4"/>
        <v>Omset lainnya</v>
      </c>
    </row>
    <row r="296" spans="2:47" ht="23.1" customHeight="1">
      <c r="B296" s="9">
        <v>46244</v>
      </c>
      <c r="D296" t="s">
        <v>808</v>
      </c>
      <c r="F296" t="s">
        <v>809</v>
      </c>
      <c r="H296" s="9">
        <v>46244</v>
      </c>
      <c r="J296" t="s">
        <v>27</v>
      </c>
      <c r="L296" t="s">
        <v>764</v>
      </c>
      <c r="N296" t="s">
        <v>765</v>
      </c>
      <c r="P296" t="s">
        <v>64</v>
      </c>
      <c r="R296" t="s">
        <v>177</v>
      </c>
      <c r="T296" t="s">
        <v>41</v>
      </c>
      <c r="Z296" t="s">
        <v>64</v>
      </c>
      <c r="AB296" t="s">
        <v>178</v>
      </c>
      <c r="AD296" t="s">
        <v>87</v>
      </c>
      <c r="AF296" t="s">
        <v>766</v>
      </c>
      <c r="AH296" t="s">
        <v>810</v>
      </c>
      <c r="AJ296" t="s">
        <v>811</v>
      </c>
      <c r="AL296">
        <v>84000</v>
      </c>
      <c r="AN296">
        <v>1</v>
      </c>
      <c r="AP296">
        <v>150000</v>
      </c>
      <c r="AR296">
        <v>150000</v>
      </c>
      <c r="AT296" t="s">
        <v>64</v>
      </c>
      <c r="AU296" t="str">
        <f t="shared" si="4"/>
        <v>Omset lainnya</v>
      </c>
    </row>
    <row r="297" spans="2:47" ht="23.1" customHeight="1">
      <c r="B297" s="9">
        <v>46244</v>
      </c>
      <c r="D297" t="s">
        <v>808</v>
      </c>
      <c r="F297" t="s">
        <v>809</v>
      </c>
      <c r="H297" s="9">
        <v>46244</v>
      </c>
      <c r="J297" t="s">
        <v>27</v>
      </c>
      <c r="L297" t="s">
        <v>764</v>
      </c>
      <c r="N297" t="s">
        <v>765</v>
      </c>
      <c r="P297" t="s">
        <v>64</v>
      </c>
      <c r="R297" t="s">
        <v>177</v>
      </c>
      <c r="T297" t="s">
        <v>41</v>
      </c>
      <c r="Z297" t="s">
        <v>64</v>
      </c>
      <c r="AB297" t="s">
        <v>178</v>
      </c>
      <c r="AD297" t="s">
        <v>87</v>
      </c>
      <c r="AF297" t="s">
        <v>766</v>
      </c>
      <c r="AH297" t="s">
        <v>618</v>
      </c>
      <c r="AJ297" t="s">
        <v>619</v>
      </c>
      <c r="AL297">
        <v>79000</v>
      </c>
      <c r="AN297">
        <v>1</v>
      </c>
      <c r="AP297">
        <v>115000</v>
      </c>
      <c r="AR297">
        <v>115000</v>
      </c>
      <c r="AT297" t="s">
        <v>64</v>
      </c>
      <c r="AU297" t="str">
        <f t="shared" si="4"/>
        <v>Omset lainnya</v>
      </c>
    </row>
    <row r="298" spans="2:47" ht="23.1" customHeight="1">
      <c r="B298" s="9">
        <v>46244</v>
      </c>
      <c r="D298" t="s">
        <v>700</v>
      </c>
      <c r="F298" t="s">
        <v>701</v>
      </c>
      <c r="H298" s="9">
        <v>46244</v>
      </c>
      <c r="J298" t="s">
        <v>27</v>
      </c>
      <c r="L298" t="s">
        <v>702</v>
      </c>
      <c r="N298" t="s">
        <v>703</v>
      </c>
      <c r="P298" t="s">
        <v>77</v>
      </c>
      <c r="R298" t="s">
        <v>31</v>
      </c>
      <c r="T298" t="s">
        <v>94</v>
      </c>
      <c r="V298" t="s">
        <v>49</v>
      </c>
      <c r="X298" t="s">
        <v>49</v>
      </c>
      <c r="Z298" t="s">
        <v>64</v>
      </c>
      <c r="AB298" t="s">
        <v>35</v>
      </c>
      <c r="AD298" t="s">
        <v>50</v>
      </c>
      <c r="AF298" t="s">
        <v>655</v>
      </c>
      <c r="AH298" t="s">
        <v>783</v>
      </c>
      <c r="AJ298" t="s">
        <v>784</v>
      </c>
      <c r="AL298">
        <v>5000</v>
      </c>
      <c r="AN298">
        <v>1</v>
      </c>
      <c r="AP298">
        <v>10000</v>
      </c>
      <c r="AR298">
        <v>10000</v>
      </c>
      <c r="AT298" t="s">
        <v>77</v>
      </c>
      <c r="AU298" t="str">
        <f t="shared" si="4"/>
        <v>Omset lainnya</v>
      </c>
    </row>
    <row r="299" spans="2:47" ht="23.1" customHeight="1">
      <c r="B299" s="9">
        <v>46245</v>
      </c>
      <c r="D299" t="s">
        <v>726</v>
      </c>
      <c r="F299" t="s">
        <v>727</v>
      </c>
      <c r="H299" s="9">
        <v>46244</v>
      </c>
      <c r="J299" t="s">
        <v>27</v>
      </c>
      <c r="L299" t="s">
        <v>728</v>
      </c>
      <c r="N299" t="s">
        <v>172</v>
      </c>
      <c r="P299" t="s">
        <v>77</v>
      </c>
      <c r="R299" t="s">
        <v>31</v>
      </c>
      <c r="T299" t="s">
        <v>94</v>
      </c>
      <c r="V299" t="s">
        <v>49</v>
      </c>
      <c r="X299" t="s">
        <v>49</v>
      </c>
      <c r="Z299" t="s">
        <v>57</v>
      </c>
      <c r="AB299" t="s">
        <v>95</v>
      </c>
      <c r="AD299" t="s">
        <v>65</v>
      </c>
      <c r="AF299" t="s">
        <v>482</v>
      </c>
      <c r="AH299" t="s">
        <v>812</v>
      </c>
      <c r="AJ299" t="s">
        <v>813</v>
      </c>
      <c r="AL299">
        <v>8000</v>
      </c>
      <c r="AN299">
        <v>1</v>
      </c>
      <c r="AP299">
        <v>30000</v>
      </c>
      <c r="AR299">
        <v>30000</v>
      </c>
      <c r="AT299" t="s">
        <v>64</v>
      </c>
      <c r="AU299" t="str">
        <f t="shared" si="4"/>
        <v>Omset lainnya</v>
      </c>
    </row>
    <row r="300" spans="2:47" ht="23.1" customHeight="1">
      <c r="B300" s="9">
        <v>46244</v>
      </c>
      <c r="D300" t="s">
        <v>695</v>
      </c>
      <c r="F300" t="s">
        <v>696</v>
      </c>
      <c r="H300" s="9">
        <v>46244</v>
      </c>
      <c r="J300" t="s">
        <v>27</v>
      </c>
      <c r="L300" t="s">
        <v>697</v>
      </c>
      <c r="N300" t="s">
        <v>698</v>
      </c>
      <c r="P300" t="s">
        <v>57</v>
      </c>
      <c r="R300" t="s">
        <v>31</v>
      </c>
      <c r="T300" t="s">
        <v>94</v>
      </c>
      <c r="V300" t="s">
        <v>127</v>
      </c>
      <c r="X300" t="s">
        <v>127</v>
      </c>
      <c r="Z300" t="s">
        <v>57</v>
      </c>
      <c r="AB300" t="s">
        <v>35</v>
      </c>
      <c r="AD300" t="s">
        <v>36</v>
      </c>
      <c r="AF300" t="s">
        <v>699</v>
      </c>
      <c r="AH300" t="s">
        <v>814</v>
      </c>
      <c r="AJ300" t="s">
        <v>815</v>
      </c>
      <c r="AL300">
        <v>120500</v>
      </c>
      <c r="AN300">
        <v>1</v>
      </c>
      <c r="AP300">
        <v>133500</v>
      </c>
      <c r="AR300">
        <v>133500</v>
      </c>
      <c r="AT300" t="s">
        <v>57</v>
      </c>
      <c r="AU300" t="str">
        <f t="shared" si="4"/>
        <v>Omset lainnya</v>
      </c>
    </row>
    <row r="301" spans="2:47" ht="23.1" customHeight="1">
      <c r="B301" s="9">
        <v>46244</v>
      </c>
      <c r="D301" t="s">
        <v>785</v>
      </c>
      <c r="F301" t="s">
        <v>786</v>
      </c>
      <c r="H301" s="9">
        <v>46242</v>
      </c>
      <c r="J301" t="s">
        <v>54</v>
      </c>
      <c r="L301" t="s">
        <v>487</v>
      </c>
      <c r="N301" t="s">
        <v>488</v>
      </c>
      <c r="P301" t="s">
        <v>57</v>
      </c>
      <c r="R301" t="s">
        <v>31</v>
      </c>
      <c r="T301" t="s">
        <v>32</v>
      </c>
      <c r="V301" t="s">
        <v>86</v>
      </c>
      <c r="X301" t="s">
        <v>86</v>
      </c>
      <c r="Z301" t="s">
        <v>64</v>
      </c>
      <c r="AB301" t="s">
        <v>111</v>
      </c>
      <c r="AD301" t="s">
        <v>65</v>
      </c>
      <c r="AF301" t="s">
        <v>489</v>
      </c>
      <c r="AH301" t="s">
        <v>236</v>
      </c>
      <c r="AJ301" t="s">
        <v>237</v>
      </c>
      <c r="AL301">
        <v>0</v>
      </c>
      <c r="AN301">
        <v>1</v>
      </c>
      <c r="AP301">
        <v>45000</v>
      </c>
      <c r="AR301">
        <v>45000</v>
      </c>
      <c r="AT301" t="s">
        <v>57</v>
      </c>
      <c r="AU301" t="str">
        <f t="shared" si="4"/>
        <v>Omset Normal</v>
      </c>
    </row>
    <row r="302" spans="2:47" ht="23.1" customHeight="1">
      <c r="B302" s="9">
        <v>46244</v>
      </c>
      <c r="D302" t="s">
        <v>785</v>
      </c>
      <c r="F302" t="s">
        <v>786</v>
      </c>
      <c r="H302" s="9">
        <v>46242</v>
      </c>
      <c r="J302" t="s">
        <v>54</v>
      </c>
      <c r="L302" t="s">
        <v>487</v>
      </c>
      <c r="N302" t="s">
        <v>488</v>
      </c>
      <c r="P302" t="s">
        <v>57</v>
      </c>
      <c r="R302" t="s">
        <v>31</v>
      </c>
      <c r="T302" t="s">
        <v>41</v>
      </c>
      <c r="V302" t="s">
        <v>86</v>
      </c>
      <c r="X302" t="s">
        <v>86</v>
      </c>
      <c r="Z302" t="s">
        <v>64</v>
      </c>
      <c r="AB302" t="s">
        <v>111</v>
      </c>
      <c r="AD302" t="s">
        <v>65</v>
      </c>
      <c r="AF302" t="s">
        <v>489</v>
      </c>
      <c r="AH302" t="s">
        <v>42</v>
      </c>
      <c r="AJ302" t="s">
        <v>43</v>
      </c>
      <c r="AL302">
        <v>17450</v>
      </c>
      <c r="AN302">
        <v>1</v>
      </c>
      <c r="AP302">
        <v>20000</v>
      </c>
      <c r="AR302">
        <v>20000</v>
      </c>
      <c r="AT302" t="s">
        <v>57</v>
      </c>
      <c r="AU302" t="str">
        <f t="shared" si="4"/>
        <v>Omset lainnya</v>
      </c>
    </row>
    <row r="303" spans="2:47" ht="23.1" customHeight="1">
      <c r="B303" s="9">
        <v>46245</v>
      </c>
      <c r="D303" t="s">
        <v>726</v>
      </c>
      <c r="F303" t="s">
        <v>727</v>
      </c>
      <c r="H303" s="9">
        <v>46244</v>
      </c>
      <c r="J303" t="s">
        <v>27</v>
      </c>
      <c r="L303" t="s">
        <v>728</v>
      </c>
      <c r="N303" t="s">
        <v>172</v>
      </c>
      <c r="P303" t="s">
        <v>77</v>
      </c>
      <c r="R303" t="s">
        <v>31</v>
      </c>
      <c r="T303" t="s">
        <v>41</v>
      </c>
      <c r="V303" t="s">
        <v>49</v>
      </c>
      <c r="X303" t="s">
        <v>49</v>
      </c>
      <c r="Z303" t="s">
        <v>57</v>
      </c>
      <c r="AB303" t="s">
        <v>95</v>
      </c>
      <c r="AD303" t="s">
        <v>65</v>
      </c>
      <c r="AF303" t="s">
        <v>482</v>
      </c>
      <c r="AH303" t="s">
        <v>42</v>
      </c>
      <c r="AJ303" t="s">
        <v>43</v>
      </c>
      <c r="AL303">
        <v>17450</v>
      </c>
      <c r="AN303">
        <v>1</v>
      </c>
      <c r="AP303">
        <v>20000</v>
      </c>
      <c r="AR303">
        <v>20000</v>
      </c>
      <c r="AT303" t="s">
        <v>64</v>
      </c>
      <c r="AU303" t="str">
        <f t="shared" si="4"/>
        <v>Omset lainnya</v>
      </c>
    </row>
    <row r="304" spans="2:47" ht="23.1" customHeight="1">
      <c r="B304" s="9">
        <v>46245</v>
      </c>
      <c r="D304" t="s">
        <v>816</v>
      </c>
      <c r="F304" t="s">
        <v>817</v>
      </c>
      <c r="H304" s="9">
        <v>46245</v>
      </c>
      <c r="J304" t="s">
        <v>27</v>
      </c>
      <c r="L304" t="s">
        <v>582</v>
      </c>
      <c r="N304" t="s">
        <v>583</v>
      </c>
      <c r="P304" t="s">
        <v>57</v>
      </c>
      <c r="R304" t="s">
        <v>177</v>
      </c>
      <c r="T304" t="s">
        <v>41</v>
      </c>
      <c r="Z304" t="s">
        <v>57</v>
      </c>
      <c r="AB304" t="s">
        <v>178</v>
      </c>
      <c r="AD304" t="s">
        <v>78</v>
      </c>
      <c r="AF304" t="s">
        <v>178</v>
      </c>
      <c r="AH304" t="s">
        <v>818</v>
      </c>
      <c r="AJ304" t="s">
        <v>819</v>
      </c>
      <c r="AL304">
        <v>39000</v>
      </c>
      <c r="AN304">
        <v>1</v>
      </c>
      <c r="AP304">
        <v>55500</v>
      </c>
      <c r="AR304">
        <v>55500</v>
      </c>
      <c r="AT304" t="s">
        <v>64</v>
      </c>
      <c r="AU304" t="str">
        <f t="shared" si="4"/>
        <v>Omset lainnya</v>
      </c>
    </row>
    <row r="305" spans="2:47" ht="23.1" customHeight="1">
      <c r="B305" s="9">
        <v>46245</v>
      </c>
      <c r="D305" t="s">
        <v>820</v>
      </c>
      <c r="F305" t="s">
        <v>821</v>
      </c>
      <c r="H305" s="9">
        <v>46240</v>
      </c>
      <c r="J305" t="s">
        <v>27</v>
      </c>
      <c r="L305" t="s">
        <v>822</v>
      </c>
      <c r="N305" t="s">
        <v>823</v>
      </c>
      <c r="P305" t="s">
        <v>64</v>
      </c>
      <c r="R305" t="s">
        <v>31</v>
      </c>
      <c r="T305" t="s">
        <v>32</v>
      </c>
      <c r="V305" t="s">
        <v>33</v>
      </c>
      <c r="X305" t="s">
        <v>33</v>
      </c>
      <c r="Z305" t="s">
        <v>64</v>
      </c>
      <c r="AB305" t="s">
        <v>824</v>
      </c>
      <c r="AD305" t="s">
        <v>87</v>
      </c>
      <c r="AF305" t="s">
        <v>825</v>
      </c>
      <c r="AH305" t="s">
        <v>826</v>
      </c>
      <c r="AJ305" t="s">
        <v>827</v>
      </c>
      <c r="AL305">
        <v>0</v>
      </c>
      <c r="AN305">
        <v>1</v>
      </c>
      <c r="AP305">
        <v>130000</v>
      </c>
      <c r="AR305">
        <v>130000</v>
      </c>
      <c r="AT305" t="s">
        <v>64</v>
      </c>
      <c r="AU305" t="str">
        <f t="shared" si="4"/>
        <v>Omset Normal</v>
      </c>
    </row>
    <row r="306" spans="2:47" ht="23.1" customHeight="1">
      <c r="B306" s="9">
        <v>46245</v>
      </c>
      <c r="D306" t="s">
        <v>820</v>
      </c>
      <c r="F306" t="s">
        <v>821</v>
      </c>
      <c r="H306" s="9">
        <v>46240</v>
      </c>
      <c r="J306" t="s">
        <v>27</v>
      </c>
      <c r="L306" t="s">
        <v>822</v>
      </c>
      <c r="N306" t="s">
        <v>823</v>
      </c>
      <c r="P306" t="s">
        <v>64</v>
      </c>
      <c r="R306" t="s">
        <v>31</v>
      </c>
      <c r="T306" t="s">
        <v>41</v>
      </c>
      <c r="V306" t="s">
        <v>33</v>
      </c>
      <c r="X306" t="s">
        <v>33</v>
      </c>
      <c r="Z306" t="s">
        <v>64</v>
      </c>
      <c r="AB306" t="s">
        <v>824</v>
      </c>
      <c r="AD306" t="s">
        <v>87</v>
      </c>
      <c r="AF306" t="s">
        <v>825</v>
      </c>
      <c r="AH306" t="s">
        <v>296</v>
      </c>
      <c r="AJ306" t="s">
        <v>297</v>
      </c>
      <c r="AL306">
        <v>19300</v>
      </c>
      <c r="AN306">
        <v>1</v>
      </c>
      <c r="AP306">
        <v>20000</v>
      </c>
      <c r="AR306">
        <v>20000</v>
      </c>
      <c r="AT306" t="s">
        <v>64</v>
      </c>
      <c r="AU306" t="str">
        <f t="shared" si="4"/>
        <v>Omset lainnya</v>
      </c>
    </row>
    <row r="307" spans="2:47" ht="23.1" customHeight="1">
      <c r="B307" s="9">
        <v>46245</v>
      </c>
      <c r="D307" t="s">
        <v>828</v>
      </c>
      <c r="F307" t="s">
        <v>829</v>
      </c>
      <c r="H307" s="9">
        <v>46245</v>
      </c>
      <c r="J307" t="s">
        <v>27</v>
      </c>
      <c r="L307" t="s">
        <v>830</v>
      </c>
      <c r="N307" t="s">
        <v>133</v>
      </c>
      <c r="P307" t="s">
        <v>77</v>
      </c>
      <c r="R307" t="s">
        <v>31</v>
      </c>
      <c r="T307" t="s">
        <v>32</v>
      </c>
      <c r="V307" t="s">
        <v>86</v>
      </c>
      <c r="X307" t="s">
        <v>86</v>
      </c>
      <c r="Z307" t="s">
        <v>77</v>
      </c>
      <c r="AB307" t="s">
        <v>111</v>
      </c>
      <c r="AD307" t="s">
        <v>87</v>
      </c>
      <c r="AF307" t="s">
        <v>805</v>
      </c>
      <c r="AH307" t="s">
        <v>114</v>
      </c>
      <c r="AJ307" t="s">
        <v>115</v>
      </c>
      <c r="AL307">
        <v>0</v>
      </c>
      <c r="AN307">
        <v>1</v>
      </c>
      <c r="AP307">
        <v>100000</v>
      </c>
      <c r="AR307">
        <v>100000</v>
      </c>
      <c r="AT307" t="s">
        <v>77</v>
      </c>
      <c r="AU307" t="str">
        <f t="shared" si="4"/>
        <v>Omset Normal</v>
      </c>
    </row>
    <row r="308" spans="2:47" ht="23.1" customHeight="1">
      <c r="B308" s="9">
        <v>46245</v>
      </c>
      <c r="D308" t="s">
        <v>828</v>
      </c>
      <c r="F308" t="s">
        <v>829</v>
      </c>
      <c r="H308" s="9">
        <v>46245</v>
      </c>
      <c r="J308" t="s">
        <v>27</v>
      </c>
      <c r="L308" t="s">
        <v>830</v>
      </c>
      <c r="N308" t="s">
        <v>133</v>
      </c>
      <c r="P308" t="s">
        <v>77</v>
      </c>
      <c r="R308" t="s">
        <v>31</v>
      </c>
      <c r="T308" t="s">
        <v>41</v>
      </c>
      <c r="V308" t="s">
        <v>86</v>
      </c>
      <c r="X308" t="s">
        <v>86</v>
      </c>
      <c r="Z308" t="s">
        <v>77</v>
      </c>
      <c r="AB308" t="s">
        <v>111</v>
      </c>
      <c r="AD308" t="s">
        <v>87</v>
      </c>
      <c r="AF308" t="s">
        <v>805</v>
      </c>
      <c r="AH308" t="s">
        <v>296</v>
      </c>
      <c r="AJ308" t="s">
        <v>297</v>
      </c>
      <c r="AL308">
        <v>19300</v>
      </c>
      <c r="AN308">
        <v>1</v>
      </c>
      <c r="AP308">
        <v>20000</v>
      </c>
      <c r="AR308">
        <v>20000</v>
      </c>
      <c r="AT308" t="s">
        <v>77</v>
      </c>
      <c r="AU308" t="str">
        <f t="shared" si="4"/>
        <v>Omset lainnya</v>
      </c>
    </row>
    <row r="309" spans="2:47" ht="23.1" customHeight="1">
      <c r="B309" s="9">
        <v>46245</v>
      </c>
      <c r="D309" t="s">
        <v>729</v>
      </c>
      <c r="F309" t="s">
        <v>730</v>
      </c>
      <c r="H309" s="9">
        <v>46245</v>
      </c>
      <c r="J309" t="s">
        <v>27</v>
      </c>
      <c r="L309" t="s">
        <v>582</v>
      </c>
      <c r="N309" t="s">
        <v>583</v>
      </c>
      <c r="P309" t="s">
        <v>57</v>
      </c>
      <c r="R309" t="s">
        <v>31</v>
      </c>
      <c r="T309" t="s">
        <v>94</v>
      </c>
      <c r="V309" t="s">
        <v>127</v>
      </c>
      <c r="X309" t="s">
        <v>127</v>
      </c>
      <c r="Z309" t="s">
        <v>57</v>
      </c>
      <c r="AB309" t="s">
        <v>35</v>
      </c>
      <c r="AD309" t="s">
        <v>65</v>
      </c>
      <c r="AF309" t="s">
        <v>731</v>
      </c>
      <c r="AH309" t="s">
        <v>483</v>
      </c>
      <c r="AJ309" t="s">
        <v>484</v>
      </c>
      <c r="AL309">
        <v>135250</v>
      </c>
      <c r="AN309">
        <v>1</v>
      </c>
      <c r="AP309">
        <v>160000</v>
      </c>
      <c r="AR309">
        <v>160000</v>
      </c>
      <c r="AT309" t="s">
        <v>64</v>
      </c>
      <c r="AU309" t="str">
        <f t="shared" si="4"/>
        <v>Omset lainnya</v>
      </c>
    </row>
    <row r="310" spans="2:47" ht="23.1" customHeight="1">
      <c r="B310" s="9">
        <v>46248</v>
      </c>
      <c r="D310" t="s">
        <v>831</v>
      </c>
      <c r="F310" t="s">
        <v>832</v>
      </c>
      <c r="H310" s="9">
        <v>46244</v>
      </c>
      <c r="J310" t="s">
        <v>54</v>
      </c>
      <c r="L310" t="s">
        <v>833</v>
      </c>
      <c r="N310" t="s">
        <v>834</v>
      </c>
      <c r="P310" t="s">
        <v>57</v>
      </c>
      <c r="R310" t="s">
        <v>31</v>
      </c>
      <c r="T310" t="s">
        <v>32</v>
      </c>
      <c r="V310" t="s">
        <v>33</v>
      </c>
      <c r="X310" t="s">
        <v>33</v>
      </c>
      <c r="Z310" t="s">
        <v>64</v>
      </c>
      <c r="AB310" t="s">
        <v>353</v>
      </c>
      <c r="AD310" t="s">
        <v>693</v>
      </c>
      <c r="AF310" t="s">
        <v>835</v>
      </c>
      <c r="AH310" t="s">
        <v>355</v>
      </c>
      <c r="AJ310" t="s">
        <v>356</v>
      </c>
      <c r="AL310">
        <v>0</v>
      </c>
      <c r="AN310">
        <v>1</v>
      </c>
      <c r="AP310">
        <v>330000</v>
      </c>
      <c r="AR310">
        <v>330000</v>
      </c>
      <c r="AU310" t="str">
        <f t="shared" si="4"/>
        <v>Omset Normal</v>
      </c>
    </row>
    <row r="311" spans="2:47" ht="23.1" customHeight="1">
      <c r="B311" s="9">
        <v>46248</v>
      </c>
      <c r="D311" t="s">
        <v>831</v>
      </c>
      <c r="F311" t="s">
        <v>832</v>
      </c>
      <c r="H311" s="9">
        <v>46244</v>
      </c>
      <c r="J311" t="s">
        <v>54</v>
      </c>
      <c r="L311" t="s">
        <v>833</v>
      </c>
      <c r="N311" t="s">
        <v>834</v>
      </c>
      <c r="P311" t="s">
        <v>57</v>
      </c>
      <c r="R311" t="s">
        <v>31</v>
      </c>
      <c r="T311" t="s">
        <v>41</v>
      </c>
      <c r="V311" t="s">
        <v>33</v>
      </c>
      <c r="X311" t="s">
        <v>33</v>
      </c>
      <c r="Z311" t="s">
        <v>64</v>
      </c>
      <c r="AB311" t="s">
        <v>353</v>
      </c>
      <c r="AD311" t="s">
        <v>693</v>
      </c>
      <c r="AF311" t="s">
        <v>835</v>
      </c>
      <c r="AH311" t="s">
        <v>42</v>
      </c>
      <c r="AJ311" t="s">
        <v>43</v>
      </c>
      <c r="AL311">
        <v>17450</v>
      </c>
      <c r="AN311">
        <v>1</v>
      </c>
      <c r="AP311">
        <v>20000</v>
      </c>
      <c r="AR311">
        <v>20000</v>
      </c>
      <c r="AU311" t="str">
        <f t="shared" si="4"/>
        <v>Omset lainnya</v>
      </c>
    </row>
    <row r="312" spans="2:47" ht="23.1" customHeight="1">
      <c r="B312" s="9">
        <v>46246</v>
      </c>
      <c r="D312" t="s">
        <v>836</v>
      </c>
      <c r="F312" t="s">
        <v>837</v>
      </c>
      <c r="H312" s="9">
        <v>46246</v>
      </c>
      <c r="J312" t="s">
        <v>27</v>
      </c>
      <c r="L312" t="s">
        <v>715</v>
      </c>
      <c r="N312" t="s">
        <v>185</v>
      </c>
      <c r="P312" t="s">
        <v>77</v>
      </c>
      <c r="R312" t="s">
        <v>31</v>
      </c>
      <c r="T312" t="s">
        <v>32</v>
      </c>
      <c r="V312" t="s">
        <v>33</v>
      </c>
      <c r="X312" t="s">
        <v>33</v>
      </c>
      <c r="Z312" t="s">
        <v>77</v>
      </c>
      <c r="AB312" t="s">
        <v>753</v>
      </c>
      <c r="AD312" t="s">
        <v>65</v>
      </c>
      <c r="AF312" t="s">
        <v>838</v>
      </c>
      <c r="AH312" t="s">
        <v>620</v>
      </c>
      <c r="AJ312" t="s">
        <v>621</v>
      </c>
      <c r="AL312">
        <v>0</v>
      </c>
      <c r="AN312">
        <v>1</v>
      </c>
      <c r="AP312">
        <v>180000</v>
      </c>
      <c r="AR312">
        <v>180000</v>
      </c>
      <c r="AT312" t="s">
        <v>64</v>
      </c>
      <c r="AU312" t="str">
        <f t="shared" si="4"/>
        <v>Omset Normal</v>
      </c>
    </row>
    <row r="313" spans="2:47" ht="23.1" customHeight="1">
      <c r="B313" s="9">
        <v>46246</v>
      </c>
      <c r="D313" t="s">
        <v>836</v>
      </c>
      <c r="F313" t="s">
        <v>837</v>
      </c>
      <c r="H313" s="9">
        <v>46246</v>
      </c>
      <c r="J313" t="s">
        <v>27</v>
      </c>
      <c r="L313" t="s">
        <v>715</v>
      </c>
      <c r="N313" t="s">
        <v>185</v>
      </c>
      <c r="P313" t="s">
        <v>77</v>
      </c>
      <c r="R313" t="s">
        <v>31</v>
      </c>
      <c r="T313" t="s">
        <v>41</v>
      </c>
      <c r="V313" t="s">
        <v>33</v>
      </c>
      <c r="X313" t="s">
        <v>33</v>
      </c>
      <c r="Z313" t="s">
        <v>77</v>
      </c>
      <c r="AB313" t="s">
        <v>753</v>
      </c>
      <c r="AD313" t="s">
        <v>65</v>
      </c>
      <c r="AF313" t="s">
        <v>838</v>
      </c>
      <c r="AH313" t="s">
        <v>42</v>
      </c>
      <c r="AJ313" t="s">
        <v>43</v>
      </c>
      <c r="AL313">
        <v>17450</v>
      </c>
      <c r="AN313">
        <v>1</v>
      </c>
      <c r="AP313">
        <v>20000</v>
      </c>
      <c r="AR313">
        <v>20000</v>
      </c>
      <c r="AT313" t="s">
        <v>64</v>
      </c>
      <c r="AU313" t="str">
        <f t="shared" si="4"/>
        <v>Omset lainnya</v>
      </c>
    </row>
    <row r="314" spans="2:47" ht="23.1" customHeight="1">
      <c r="B314" s="9">
        <v>46246</v>
      </c>
      <c r="D314" t="s">
        <v>839</v>
      </c>
      <c r="F314" t="s">
        <v>840</v>
      </c>
      <c r="H314" s="9">
        <v>46246</v>
      </c>
      <c r="J314" t="s">
        <v>54</v>
      </c>
      <c r="L314" t="s">
        <v>841</v>
      </c>
      <c r="N314" t="s">
        <v>842</v>
      </c>
      <c r="P314" t="s">
        <v>77</v>
      </c>
      <c r="R314" t="s">
        <v>31</v>
      </c>
      <c r="T314" t="s">
        <v>32</v>
      </c>
      <c r="V314" t="s">
        <v>86</v>
      </c>
      <c r="X314" t="s">
        <v>86</v>
      </c>
      <c r="Z314" t="s">
        <v>77</v>
      </c>
      <c r="AB314" t="s">
        <v>35</v>
      </c>
      <c r="AD314" t="s">
        <v>112</v>
      </c>
      <c r="AF314" t="s">
        <v>843</v>
      </c>
      <c r="AH314" t="s">
        <v>38</v>
      </c>
      <c r="AJ314" t="s">
        <v>39</v>
      </c>
      <c r="AL314">
        <v>0</v>
      </c>
      <c r="AN314">
        <v>1</v>
      </c>
      <c r="AP314">
        <v>90000</v>
      </c>
      <c r="AR314">
        <v>90000</v>
      </c>
      <c r="AU314" t="str">
        <f t="shared" si="4"/>
        <v>Omset Interface</v>
      </c>
    </row>
    <row r="315" spans="2:47" ht="23.1" customHeight="1">
      <c r="B315" s="9">
        <v>46246</v>
      </c>
      <c r="D315" t="s">
        <v>839</v>
      </c>
      <c r="F315" t="s">
        <v>840</v>
      </c>
      <c r="H315" s="9">
        <v>46246</v>
      </c>
      <c r="J315" t="s">
        <v>54</v>
      </c>
      <c r="L315" t="s">
        <v>841</v>
      </c>
      <c r="N315" t="s">
        <v>842</v>
      </c>
      <c r="P315" t="s">
        <v>77</v>
      </c>
      <c r="R315" t="s">
        <v>31</v>
      </c>
      <c r="T315" t="s">
        <v>41</v>
      </c>
      <c r="V315" t="s">
        <v>86</v>
      </c>
      <c r="X315" t="s">
        <v>86</v>
      </c>
      <c r="Z315" t="s">
        <v>77</v>
      </c>
      <c r="AB315" t="s">
        <v>35</v>
      </c>
      <c r="AD315" t="s">
        <v>112</v>
      </c>
      <c r="AF315" t="s">
        <v>843</v>
      </c>
      <c r="AH315" t="s">
        <v>42</v>
      </c>
      <c r="AJ315" t="s">
        <v>43</v>
      </c>
      <c r="AL315">
        <v>17450</v>
      </c>
      <c r="AN315">
        <v>1</v>
      </c>
      <c r="AP315">
        <v>20000</v>
      </c>
      <c r="AR315">
        <v>20000</v>
      </c>
      <c r="AU315" t="str">
        <f t="shared" si="4"/>
        <v>Omset lainnya</v>
      </c>
    </row>
    <row r="316" spans="2:47" ht="23.1" customHeight="1">
      <c r="B316" s="9">
        <v>46248</v>
      </c>
      <c r="D316" t="s">
        <v>844</v>
      </c>
      <c r="F316" t="s">
        <v>845</v>
      </c>
      <c r="H316" s="9">
        <v>46241</v>
      </c>
      <c r="J316" t="s">
        <v>54</v>
      </c>
      <c r="L316" t="s">
        <v>227</v>
      </c>
      <c r="N316" t="s">
        <v>185</v>
      </c>
      <c r="P316" t="s">
        <v>77</v>
      </c>
      <c r="R316" t="s">
        <v>31</v>
      </c>
      <c r="T316" t="s">
        <v>94</v>
      </c>
      <c r="V316" t="s">
        <v>86</v>
      </c>
      <c r="X316" t="s">
        <v>86</v>
      </c>
      <c r="Z316" t="s">
        <v>77</v>
      </c>
      <c r="AB316" t="s">
        <v>268</v>
      </c>
      <c r="AD316" t="s">
        <v>87</v>
      </c>
      <c r="AF316" t="s">
        <v>220</v>
      </c>
      <c r="AH316" t="s">
        <v>846</v>
      </c>
      <c r="AJ316" t="s">
        <v>847</v>
      </c>
      <c r="AL316">
        <v>155000</v>
      </c>
      <c r="AN316">
        <v>1</v>
      </c>
      <c r="AP316">
        <v>170000</v>
      </c>
      <c r="AR316">
        <v>170000</v>
      </c>
      <c r="AU316" t="str">
        <f t="shared" si="4"/>
        <v>Omset lainnya</v>
      </c>
    </row>
    <row r="317" spans="2:47" ht="23.1" customHeight="1">
      <c r="B317" s="9">
        <v>46247</v>
      </c>
      <c r="D317" t="s">
        <v>848</v>
      </c>
      <c r="F317" t="s">
        <v>849</v>
      </c>
      <c r="H317" s="9">
        <v>46247</v>
      </c>
      <c r="J317" t="s">
        <v>27</v>
      </c>
      <c r="L317" t="s">
        <v>850</v>
      </c>
      <c r="N317" t="s">
        <v>851</v>
      </c>
      <c r="P317" t="s">
        <v>57</v>
      </c>
      <c r="R317" t="s">
        <v>31</v>
      </c>
      <c r="T317" t="s">
        <v>32</v>
      </c>
      <c r="V317" t="s">
        <v>71</v>
      </c>
      <c r="X317" t="s">
        <v>71</v>
      </c>
      <c r="Z317" t="s">
        <v>57</v>
      </c>
      <c r="AB317" t="s">
        <v>268</v>
      </c>
      <c r="AD317" t="s">
        <v>50</v>
      </c>
      <c r="AF317" t="s">
        <v>852</v>
      </c>
      <c r="AH317" t="s">
        <v>270</v>
      </c>
      <c r="AJ317" t="s">
        <v>271</v>
      </c>
      <c r="AL317">
        <v>0</v>
      </c>
      <c r="AN317">
        <v>1</v>
      </c>
      <c r="AP317">
        <v>112000</v>
      </c>
      <c r="AR317">
        <v>112000</v>
      </c>
      <c r="AT317" t="s">
        <v>77</v>
      </c>
      <c r="AU317" t="str">
        <f t="shared" si="4"/>
        <v>Omset Interface</v>
      </c>
    </row>
    <row r="318" spans="2:47" ht="23.1" customHeight="1">
      <c r="B318" s="9">
        <v>46247</v>
      </c>
      <c r="D318" t="s">
        <v>848</v>
      </c>
      <c r="F318" t="s">
        <v>849</v>
      </c>
      <c r="H318" s="9">
        <v>46247</v>
      </c>
      <c r="J318" t="s">
        <v>27</v>
      </c>
      <c r="L318" t="s">
        <v>850</v>
      </c>
      <c r="N318" t="s">
        <v>851</v>
      </c>
      <c r="P318" t="s">
        <v>57</v>
      </c>
      <c r="R318" t="s">
        <v>31</v>
      </c>
      <c r="T318" t="s">
        <v>41</v>
      </c>
      <c r="V318" t="s">
        <v>71</v>
      </c>
      <c r="X318" t="s">
        <v>71</v>
      </c>
      <c r="Z318" t="s">
        <v>57</v>
      </c>
      <c r="AB318" t="s">
        <v>268</v>
      </c>
      <c r="AD318" t="s">
        <v>50</v>
      </c>
      <c r="AF318" t="s">
        <v>852</v>
      </c>
      <c r="AH318" t="s">
        <v>42</v>
      </c>
      <c r="AJ318" t="s">
        <v>43</v>
      </c>
      <c r="AL318">
        <v>17450</v>
      </c>
      <c r="AN318">
        <v>1</v>
      </c>
      <c r="AP318">
        <v>20000</v>
      </c>
      <c r="AR318">
        <v>20000</v>
      </c>
      <c r="AT318" t="s">
        <v>77</v>
      </c>
      <c r="AU318" t="str">
        <f t="shared" si="4"/>
        <v>Omset lainnya</v>
      </c>
    </row>
    <row r="319" spans="2:47" ht="23.1" customHeight="1">
      <c r="B319" s="9">
        <v>46247</v>
      </c>
      <c r="D319" t="s">
        <v>853</v>
      </c>
      <c r="F319" t="s">
        <v>854</v>
      </c>
      <c r="H319" s="9">
        <v>46247</v>
      </c>
      <c r="J319" t="s">
        <v>27</v>
      </c>
      <c r="L319" t="s">
        <v>855</v>
      </c>
      <c r="N319" t="s">
        <v>856</v>
      </c>
      <c r="P319" t="s">
        <v>310</v>
      </c>
      <c r="R319" t="s">
        <v>31</v>
      </c>
      <c r="T319" t="s">
        <v>41</v>
      </c>
      <c r="V319" t="s">
        <v>127</v>
      </c>
      <c r="X319" t="s">
        <v>127</v>
      </c>
      <c r="Z319" t="s">
        <v>310</v>
      </c>
      <c r="AB319" t="s">
        <v>35</v>
      </c>
      <c r="AD319" t="s">
        <v>112</v>
      </c>
      <c r="AF319" t="s">
        <v>857</v>
      </c>
      <c r="AH319" t="s">
        <v>42</v>
      </c>
      <c r="AJ319" t="s">
        <v>43</v>
      </c>
      <c r="AL319">
        <v>17450</v>
      </c>
      <c r="AN319">
        <v>1</v>
      </c>
      <c r="AP319">
        <v>21000</v>
      </c>
      <c r="AR319">
        <v>21000</v>
      </c>
      <c r="AT319" t="s">
        <v>310</v>
      </c>
      <c r="AU319" t="str">
        <f t="shared" si="4"/>
        <v>Omset lainnya</v>
      </c>
    </row>
    <row r="320" spans="2:47" ht="23.1" customHeight="1">
      <c r="B320" s="9">
        <v>46247</v>
      </c>
      <c r="D320" t="s">
        <v>853</v>
      </c>
      <c r="F320" t="s">
        <v>854</v>
      </c>
      <c r="H320" s="9">
        <v>46247</v>
      </c>
      <c r="J320" t="s">
        <v>27</v>
      </c>
      <c r="L320" t="s">
        <v>855</v>
      </c>
      <c r="N320" t="s">
        <v>856</v>
      </c>
      <c r="P320" t="s">
        <v>310</v>
      </c>
      <c r="R320" t="s">
        <v>31</v>
      </c>
      <c r="T320" t="s">
        <v>41</v>
      </c>
      <c r="V320" t="s">
        <v>127</v>
      </c>
      <c r="X320" t="s">
        <v>127</v>
      </c>
      <c r="Z320" t="s">
        <v>310</v>
      </c>
      <c r="AB320" t="s">
        <v>35</v>
      </c>
      <c r="AD320" t="s">
        <v>112</v>
      </c>
      <c r="AF320" t="s">
        <v>857</v>
      </c>
      <c r="AH320" t="s">
        <v>80</v>
      </c>
      <c r="AJ320" t="s">
        <v>81</v>
      </c>
      <c r="AL320">
        <v>20000</v>
      </c>
      <c r="AN320">
        <v>1</v>
      </c>
      <c r="AP320">
        <v>64000</v>
      </c>
      <c r="AR320">
        <v>64000</v>
      </c>
      <c r="AT320" t="s">
        <v>310</v>
      </c>
      <c r="AU320" t="str">
        <f t="shared" si="4"/>
        <v>Omset lainnya</v>
      </c>
    </row>
    <row r="321" spans="2:47" ht="23.1" customHeight="1">
      <c r="B321" s="9">
        <v>46245</v>
      </c>
      <c r="D321" t="s">
        <v>767</v>
      </c>
      <c r="F321" t="s">
        <v>768</v>
      </c>
      <c r="H321" s="9">
        <v>46244</v>
      </c>
      <c r="J321" t="s">
        <v>27</v>
      </c>
      <c r="L321" t="s">
        <v>769</v>
      </c>
      <c r="N321" t="s">
        <v>770</v>
      </c>
      <c r="P321" t="s">
        <v>64</v>
      </c>
      <c r="R321" t="s">
        <v>31</v>
      </c>
      <c r="T321" t="s">
        <v>94</v>
      </c>
      <c r="V321" t="s">
        <v>49</v>
      </c>
      <c r="X321" t="s">
        <v>49</v>
      </c>
      <c r="Z321" t="s">
        <v>64</v>
      </c>
      <c r="AB321" t="s">
        <v>35</v>
      </c>
      <c r="AD321" t="s">
        <v>65</v>
      </c>
      <c r="AF321" t="s">
        <v>771</v>
      </c>
      <c r="AH321" t="s">
        <v>858</v>
      </c>
      <c r="AJ321" t="s">
        <v>859</v>
      </c>
      <c r="AL321">
        <v>1500000</v>
      </c>
      <c r="AN321">
        <v>1</v>
      </c>
      <c r="AP321">
        <v>1700000</v>
      </c>
      <c r="AR321">
        <v>1700000</v>
      </c>
      <c r="AT321" t="s">
        <v>64</v>
      </c>
      <c r="AU321" t="str">
        <f t="shared" si="4"/>
        <v>Omset lainnya</v>
      </c>
    </row>
    <row r="322" spans="2:47" ht="23.1" customHeight="1">
      <c r="B322" s="9">
        <v>46245</v>
      </c>
      <c r="D322" t="s">
        <v>767</v>
      </c>
      <c r="F322" t="s">
        <v>768</v>
      </c>
      <c r="H322" s="9">
        <v>46244</v>
      </c>
      <c r="J322" t="s">
        <v>27</v>
      </c>
      <c r="L322" t="s">
        <v>769</v>
      </c>
      <c r="N322" t="s">
        <v>770</v>
      </c>
      <c r="P322" t="s">
        <v>64</v>
      </c>
      <c r="R322" t="s">
        <v>31</v>
      </c>
      <c r="T322" t="s">
        <v>94</v>
      </c>
      <c r="V322" t="s">
        <v>49</v>
      </c>
      <c r="X322" t="s">
        <v>49</v>
      </c>
      <c r="Z322" t="s">
        <v>64</v>
      </c>
      <c r="AB322" t="s">
        <v>35</v>
      </c>
      <c r="AD322" t="s">
        <v>65</v>
      </c>
      <c r="AF322" t="s">
        <v>771</v>
      </c>
      <c r="AH322" t="s">
        <v>860</v>
      </c>
      <c r="AJ322" t="s">
        <v>861</v>
      </c>
      <c r="AL322">
        <v>125000</v>
      </c>
      <c r="AN322">
        <v>1</v>
      </c>
      <c r="AP322">
        <v>138000</v>
      </c>
      <c r="AR322">
        <v>138000</v>
      </c>
      <c r="AT322" t="s">
        <v>64</v>
      </c>
      <c r="AU322" t="str">
        <f t="shared" ref="AU322:AU385" si="5">_xlfn.IFS(ISNUMBER(SEARCH("Interface", AJ322)), "Omset Interface", ISNUMBER(SEARCH("Normal", AJ322)), "Omset Normal", ISNUMBER(SEARCH("Mati Total", AJ322)), "Omset Mati Total", ISNUMBER(SEARCH("Promo", AJ322)), "Omset Promo", TRUE, "Omset lainnya")</f>
        <v>Omset lainnya</v>
      </c>
    </row>
    <row r="323" spans="2:47" ht="23.1" customHeight="1">
      <c r="B323" s="9">
        <v>46248</v>
      </c>
      <c r="D323" t="s">
        <v>862</v>
      </c>
      <c r="F323" t="s">
        <v>863</v>
      </c>
      <c r="H323" s="9">
        <v>46243</v>
      </c>
      <c r="J323" t="s">
        <v>27</v>
      </c>
      <c r="L323" t="s">
        <v>864</v>
      </c>
      <c r="N323" t="s">
        <v>865</v>
      </c>
      <c r="P323" t="s">
        <v>64</v>
      </c>
      <c r="R323" t="s">
        <v>173</v>
      </c>
      <c r="T323" t="s">
        <v>94</v>
      </c>
      <c r="V323" t="s">
        <v>33</v>
      </c>
      <c r="X323" t="s">
        <v>33</v>
      </c>
      <c r="Z323" t="s">
        <v>64</v>
      </c>
      <c r="AB323" t="s">
        <v>35</v>
      </c>
      <c r="AD323" t="s">
        <v>87</v>
      </c>
      <c r="AF323" t="s">
        <v>866</v>
      </c>
      <c r="AH323" t="s">
        <v>867</v>
      </c>
      <c r="AJ323" t="s">
        <v>868</v>
      </c>
      <c r="AL323">
        <v>3369000</v>
      </c>
      <c r="AN323">
        <v>1</v>
      </c>
      <c r="AP323">
        <v>3700000</v>
      </c>
      <c r="AR323">
        <v>3700000</v>
      </c>
      <c r="AT323" t="s">
        <v>64</v>
      </c>
      <c r="AU323" t="str">
        <f t="shared" si="5"/>
        <v>Omset lainnya</v>
      </c>
    </row>
    <row r="324" spans="2:47" ht="23.1" customHeight="1">
      <c r="B324" s="9">
        <v>46246</v>
      </c>
      <c r="D324" t="s">
        <v>869</v>
      </c>
      <c r="F324" t="s">
        <v>870</v>
      </c>
      <c r="H324" s="9">
        <v>46245</v>
      </c>
      <c r="J324" t="s">
        <v>54</v>
      </c>
      <c r="L324" t="s">
        <v>871</v>
      </c>
      <c r="N324" t="s">
        <v>872</v>
      </c>
      <c r="P324" t="s">
        <v>57</v>
      </c>
      <c r="R324" t="s">
        <v>31</v>
      </c>
      <c r="T324" t="s">
        <v>32</v>
      </c>
      <c r="V324" t="s">
        <v>86</v>
      </c>
      <c r="X324" t="s">
        <v>86</v>
      </c>
      <c r="Z324" t="s">
        <v>77</v>
      </c>
      <c r="AB324" t="s">
        <v>111</v>
      </c>
      <c r="AD324" t="s">
        <v>65</v>
      </c>
      <c r="AF324" t="s">
        <v>873</v>
      </c>
      <c r="AH324" t="s">
        <v>114</v>
      </c>
      <c r="AJ324" t="s">
        <v>115</v>
      </c>
      <c r="AL324">
        <v>0</v>
      </c>
      <c r="AN324">
        <v>1</v>
      </c>
      <c r="AP324">
        <v>130000</v>
      </c>
      <c r="AR324">
        <v>130000</v>
      </c>
      <c r="AT324" t="s">
        <v>57</v>
      </c>
      <c r="AU324" t="str">
        <f t="shared" si="5"/>
        <v>Omset Normal</v>
      </c>
    </row>
    <row r="325" spans="2:47" ht="23.1" customHeight="1">
      <c r="B325" s="9">
        <v>46246</v>
      </c>
      <c r="D325" t="s">
        <v>869</v>
      </c>
      <c r="F325" t="s">
        <v>870</v>
      </c>
      <c r="H325" s="9">
        <v>46245</v>
      </c>
      <c r="J325" t="s">
        <v>54</v>
      </c>
      <c r="L325" t="s">
        <v>871</v>
      </c>
      <c r="N325" t="s">
        <v>872</v>
      </c>
      <c r="P325" t="s">
        <v>57</v>
      </c>
      <c r="R325" t="s">
        <v>31</v>
      </c>
      <c r="T325" t="s">
        <v>41</v>
      </c>
      <c r="V325" t="s">
        <v>86</v>
      </c>
      <c r="X325" t="s">
        <v>86</v>
      </c>
      <c r="Z325" t="s">
        <v>77</v>
      </c>
      <c r="AB325" t="s">
        <v>111</v>
      </c>
      <c r="AD325" t="s">
        <v>65</v>
      </c>
      <c r="AF325" t="s">
        <v>873</v>
      </c>
      <c r="AH325" t="s">
        <v>42</v>
      </c>
      <c r="AJ325" t="s">
        <v>43</v>
      </c>
      <c r="AL325">
        <v>17450</v>
      </c>
      <c r="AN325">
        <v>1</v>
      </c>
      <c r="AP325">
        <v>20000</v>
      </c>
      <c r="AR325">
        <v>20000</v>
      </c>
      <c r="AT325" t="s">
        <v>57</v>
      </c>
      <c r="AU325" t="str">
        <f t="shared" si="5"/>
        <v>Omset lainnya</v>
      </c>
    </row>
    <row r="326" spans="2:47" ht="23.1" customHeight="1">
      <c r="B326" s="9">
        <v>46246</v>
      </c>
      <c r="D326" t="s">
        <v>874</v>
      </c>
      <c r="F326" t="s">
        <v>875</v>
      </c>
      <c r="H326" s="9">
        <v>46234</v>
      </c>
      <c r="J326" t="s">
        <v>54</v>
      </c>
      <c r="L326" t="s">
        <v>876</v>
      </c>
      <c r="N326" t="s">
        <v>877</v>
      </c>
      <c r="P326" t="s">
        <v>57</v>
      </c>
      <c r="R326" t="s">
        <v>31</v>
      </c>
      <c r="T326" t="s">
        <v>32</v>
      </c>
      <c r="V326" t="s">
        <v>49</v>
      </c>
      <c r="X326" t="s">
        <v>33</v>
      </c>
      <c r="Z326" t="s">
        <v>77</v>
      </c>
      <c r="AB326" t="s">
        <v>268</v>
      </c>
      <c r="AD326" t="s">
        <v>87</v>
      </c>
      <c r="AF326" t="s">
        <v>878</v>
      </c>
      <c r="AH326" t="s">
        <v>270</v>
      </c>
      <c r="AJ326" t="s">
        <v>271</v>
      </c>
      <c r="AL326">
        <v>0</v>
      </c>
      <c r="AN326">
        <v>1</v>
      </c>
      <c r="AP326">
        <v>50000</v>
      </c>
      <c r="AR326">
        <v>50000</v>
      </c>
      <c r="AU326" t="str">
        <f t="shared" si="5"/>
        <v>Omset Interface</v>
      </c>
    </row>
    <row r="327" spans="2:47" ht="23.1" customHeight="1">
      <c r="B327" s="9">
        <v>46246</v>
      </c>
      <c r="D327" t="s">
        <v>874</v>
      </c>
      <c r="F327" t="s">
        <v>875</v>
      </c>
      <c r="H327" s="9">
        <v>46234</v>
      </c>
      <c r="J327" t="s">
        <v>54</v>
      </c>
      <c r="L327" t="s">
        <v>876</v>
      </c>
      <c r="N327" t="s">
        <v>877</v>
      </c>
      <c r="P327" t="s">
        <v>57</v>
      </c>
      <c r="R327" t="s">
        <v>31</v>
      </c>
      <c r="T327" t="s">
        <v>41</v>
      </c>
      <c r="V327" t="s">
        <v>49</v>
      </c>
      <c r="X327" t="s">
        <v>33</v>
      </c>
      <c r="Z327" t="s">
        <v>77</v>
      </c>
      <c r="AB327" t="s">
        <v>268</v>
      </c>
      <c r="AD327" t="s">
        <v>87</v>
      </c>
      <c r="AF327" t="s">
        <v>878</v>
      </c>
      <c r="AH327" t="s">
        <v>42</v>
      </c>
      <c r="AJ327" t="s">
        <v>43</v>
      </c>
      <c r="AL327">
        <v>17450</v>
      </c>
      <c r="AN327">
        <v>1</v>
      </c>
      <c r="AP327">
        <v>20000</v>
      </c>
      <c r="AR327">
        <v>20000</v>
      </c>
      <c r="AU327" t="str">
        <f t="shared" si="5"/>
        <v>Omset lainnya</v>
      </c>
    </row>
    <row r="328" spans="2:47" ht="23.1" customHeight="1">
      <c r="B328" s="9">
        <v>46247</v>
      </c>
      <c r="D328" t="s">
        <v>879</v>
      </c>
      <c r="F328" t="s">
        <v>880</v>
      </c>
      <c r="H328" s="9">
        <v>46246</v>
      </c>
      <c r="J328" t="s">
        <v>27</v>
      </c>
      <c r="L328" t="s">
        <v>881</v>
      </c>
      <c r="N328" t="s">
        <v>882</v>
      </c>
      <c r="P328" t="s">
        <v>57</v>
      </c>
      <c r="R328" t="s">
        <v>31</v>
      </c>
      <c r="T328" t="s">
        <v>94</v>
      </c>
      <c r="V328" t="s">
        <v>127</v>
      </c>
      <c r="X328" t="s">
        <v>127</v>
      </c>
      <c r="Z328" t="s">
        <v>77</v>
      </c>
      <c r="AB328" t="s">
        <v>95</v>
      </c>
      <c r="AD328" t="s">
        <v>112</v>
      </c>
      <c r="AF328" t="s">
        <v>883</v>
      </c>
      <c r="AH328" t="s">
        <v>884</v>
      </c>
      <c r="AJ328" t="s">
        <v>885</v>
      </c>
      <c r="AL328">
        <v>55000</v>
      </c>
      <c r="AN328">
        <v>1</v>
      </c>
      <c r="AP328">
        <v>61000</v>
      </c>
      <c r="AR328">
        <v>61000</v>
      </c>
      <c r="AT328" t="s">
        <v>57</v>
      </c>
      <c r="AU328" t="str">
        <f t="shared" si="5"/>
        <v>Omset lainnya</v>
      </c>
    </row>
    <row r="329" spans="2:47" ht="23.1" customHeight="1">
      <c r="B329" s="9">
        <v>46247</v>
      </c>
      <c r="D329" t="s">
        <v>879</v>
      </c>
      <c r="F329" t="s">
        <v>880</v>
      </c>
      <c r="H329" s="9">
        <v>46246</v>
      </c>
      <c r="J329" t="s">
        <v>27</v>
      </c>
      <c r="L329" t="s">
        <v>881</v>
      </c>
      <c r="N329" t="s">
        <v>882</v>
      </c>
      <c r="P329" t="s">
        <v>57</v>
      </c>
      <c r="R329" t="s">
        <v>31</v>
      </c>
      <c r="T329" t="s">
        <v>94</v>
      </c>
      <c r="V329" t="s">
        <v>127</v>
      </c>
      <c r="X329" t="s">
        <v>127</v>
      </c>
      <c r="Z329" t="s">
        <v>77</v>
      </c>
      <c r="AB329" t="s">
        <v>95</v>
      </c>
      <c r="AD329" t="s">
        <v>112</v>
      </c>
      <c r="AF329" t="s">
        <v>883</v>
      </c>
      <c r="AH329" t="s">
        <v>886</v>
      </c>
      <c r="AJ329" t="s">
        <v>887</v>
      </c>
      <c r="AL329">
        <v>15000</v>
      </c>
      <c r="AN329">
        <v>1</v>
      </c>
      <c r="AP329">
        <v>17000</v>
      </c>
      <c r="AR329">
        <v>17000</v>
      </c>
      <c r="AT329" t="s">
        <v>57</v>
      </c>
      <c r="AU329" t="str">
        <f t="shared" si="5"/>
        <v>Omset lainnya</v>
      </c>
    </row>
    <row r="330" spans="2:47" ht="23.1" customHeight="1">
      <c r="B330" s="9">
        <v>46247</v>
      </c>
      <c r="D330" t="s">
        <v>879</v>
      </c>
      <c r="F330" t="s">
        <v>880</v>
      </c>
      <c r="H330" s="9">
        <v>46246</v>
      </c>
      <c r="J330" t="s">
        <v>27</v>
      </c>
      <c r="L330" t="s">
        <v>881</v>
      </c>
      <c r="N330" t="s">
        <v>882</v>
      </c>
      <c r="P330" t="s">
        <v>57</v>
      </c>
      <c r="R330" t="s">
        <v>31</v>
      </c>
      <c r="T330" t="s">
        <v>94</v>
      </c>
      <c r="V330" t="s">
        <v>127</v>
      </c>
      <c r="X330" t="s">
        <v>127</v>
      </c>
      <c r="Z330" t="s">
        <v>77</v>
      </c>
      <c r="AB330" t="s">
        <v>95</v>
      </c>
      <c r="AD330" t="s">
        <v>112</v>
      </c>
      <c r="AF330" t="s">
        <v>883</v>
      </c>
      <c r="AH330" t="s">
        <v>888</v>
      </c>
      <c r="AJ330" t="s">
        <v>889</v>
      </c>
      <c r="AL330">
        <v>25000</v>
      </c>
      <c r="AN330">
        <v>1</v>
      </c>
      <c r="AP330">
        <v>28000</v>
      </c>
      <c r="AR330">
        <v>28000</v>
      </c>
      <c r="AT330" t="s">
        <v>57</v>
      </c>
      <c r="AU330" t="str">
        <f t="shared" si="5"/>
        <v>Omset lainnya</v>
      </c>
    </row>
    <row r="331" spans="2:47" ht="23.1" customHeight="1">
      <c r="B331" s="9">
        <v>46246</v>
      </c>
      <c r="D331" t="s">
        <v>869</v>
      </c>
      <c r="F331" t="s">
        <v>870</v>
      </c>
      <c r="H331" s="9">
        <v>46245</v>
      </c>
      <c r="J331" t="s">
        <v>54</v>
      </c>
      <c r="L331" t="s">
        <v>871</v>
      </c>
      <c r="N331" t="s">
        <v>872</v>
      </c>
      <c r="P331" t="s">
        <v>57</v>
      </c>
      <c r="R331" t="s">
        <v>31</v>
      </c>
      <c r="T331" t="s">
        <v>94</v>
      </c>
      <c r="V331" t="s">
        <v>86</v>
      </c>
      <c r="X331" t="s">
        <v>86</v>
      </c>
      <c r="Z331" t="s">
        <v>77</v>
      </c>
      <c r="AB331" t="s">
        <v>111</v>
      </c>
      <c r="AD331" t="s">
        <v>65</v>
      </c>
      <c r="AF331" t="s">
        <v>873</v>
      </c>
      <c r="AH331" t="s">
        <v>890</v>
      </c>
      <c r="AJ331" t="s">
        <v>891</v>
      </c>
      <c r="AL331">
        <v>17000</v>
      </c>
      <c r="AN331">
        <v>1</v>
      </c>
      <c r="AP331">
        <v>25000</v>
      </c>
      <c r="AR331">
        <v>25000</v>
      </c>
      <c r="AT331" t="s">
        <v>57</v>
      </c>
      <c r="AU331" t="str">
        <f t="shared" si="5"/>
        <v>Omset lainnya</v>
      </c>
    </row>
    <row r="332" spans="2:47" ht="23.1" customHeight="1">
      <c r="B332" s="9">
        <v>46246</v>
      </c>
      <c r="D332" t="s">
        <v>874</v>
      </c>
      <c r="F332" t="s">
        <v>875</v>
      </c>
      <c r="H332" s="9">
        <v>46234</v>
      </c>
      <c r="J332" t="s">
        <v>54</v>
      </c>
      <c r="L332" t="s">
        <v>876</v>
      </c>
      <c r="N332" t="s">
        <v>877</v>
      </c>
      <c r="P332" t="s">
        <v>57</v>
      </c>
      <c r="R332" t="s">
        <v>31</v>
      </c>
      <c r="T332" t="s">
        <v>94</v>
      </c>
      <c r="V332" t="s">
        <v>49</v>
      </c>
      <c r="X332" t="s">
        <v>33</v>
      </c>
      <c r="Z332" t="s">
        <v>77</v>
      </c>
      <c r="AB332" t="s">
        <v>268</v>
      </c>
      <c r="AD332" t="s">
        <v>87</v>
      </c>
      <c r="AF332" t="s">
        <v>878</v>
      </c>
      <c r="AH332" t="s">
        <v>892</v>
      </c>
      <c r="AJ332" t="s">
        <v>893</v>
      </c>
      <c r="AL332">
        <v>190000</v>
      </c>
      <c r="AN332">
        <v>1</v>
      </c>
      <c r="AP332">
        <v>210000</v>
      </c>
      <c r="AR332">
        <v>210000</v>
      </c>
      <c r="AU332" t="str">
        <f t="shared" si="5"/>
        <v>Omset lainnya</v>
      </c>
    </row>
    <row r="333" spans="2:47" ht="23.1" customHeight="1">
      <c r="B333" s="9">
        <v>46247</v>
      </c>
      <c r="D333" t="s">
        <v>853</v>
      </c>
      <c r="F333" t="s">
        <v>854</v>
      </c>
      <c r="H333" s="9">
        <v>46247</v>
      </c>
      <c r="J333" t="s">
        <v>27</v>
      </c>
      <c r="L333" t="s">
        <v>855</v>
      </c>
      <c r="N333" t="s">
        <v>856</v>
      </c>
      <c r="P333" t="s">
        <v>310</v>
      </c>
      <c r="R333" t="s">
        <v>31</v>
      </c>
      <c r="T333" t="s">
        <v>32</v>
      </c>
      <c r="V333" t="s">
        <v>127</v>
      </c>
      <c r="X333" t="s">
        <v>127</v>
      </c>
      <c r="Z333" t="s">
        <v>310</v>
      </c>
      <c r="AB333" t="s">
        <v>35</v>
      </c>
      <c r="AD333" t="s">
        <v>112</v>
      </c>
      <c r="AF333" t="s">
        <v>857</v>
      </c>
      <c r="AH333" t="s">
        <v>38</v>
      </c>
      <c r="AJ333" t="s">
        <v>39</v>
      </c>
      <c r="AL333">
        <v>0</v>
      </c>
      <c r="AN333">
        <v>1</v>
      </c>
      <c r="AP333">
        <v>42000</v>
      </c>
      <c r="AR333">
        <v>42000</v>
      </c>
      <c r="AT333" t="s">
        <v>310</v>
      </c>
      <c r="AU333" t="str">
        <f t="shared" si="5"/>
        <v>Omset Interface</v>
      </c>
    </row>
    <row r="334" spans="2:47" ht="23.1" customHeight="1">
      <c r="B334" s="9">
        <v>46247</v>
      </c>
      <c r="D334" t="s">
        <v>879</v>
      </c>
      <c r="F334" t="s">
        <v>880</v>
      </c>
      <c r="H334" s="9">
        <v>46246</v>
      </c>
      <c r="J334" t="s">
        <v>27</v>
      </c>
      <c r="L334" t="s">
        <v>881</v>
      </c>
      <c r="N334" t="s">
        <v>882</v>
      </c>
      <c r="P334" t="s">
        <v>57</v>
      </c>
      <c r="R334" t="s">
        <v>31</v>
      </c>
      <c r="T334" t="s">
        <v>41</v>
      </c>
      <c r="V334" t="s">
        <v>127</v>
      </c>
      <c r="X334" t="s">
        <v>127</v>
      </c>
      <c r="Z334" t="s">
        <v>77</v>
      </c>
      <c r="AB334" t="s">
        <v>95</v>
      </c>
      <c r="AD334" t="s">
        <v>112</v>
      </c>
      <c r="AF334" t="s">
        <v>883</v>
      </c>
      <c r="AH334" t="s">
        <v>42</v>
      </c>
      <c r="AJ334" t="s">
        <v>43</v>
      </c>
      <c r="AL334">
        <v>17450</v>
      </c>
      <c r="AN334">
        <v>1</v>
      </c>
      <c r="AP334">
        <v>20000</v>
      </c>
      <c r="AR334">
        <v>20000</v>
      </c>
      <c r="AT334" t="s">
        <v>57</v>
      </c>
      <c r="AU334" t="str">
        <f t="shared" si="5"/>
        <v>Omset lainnya</v>
      </c>
    </row>
    <row r="335" spans="2:47" ht="23.1" customHeight="1">
      <c r="B335" s="9">
        <v>46247</v>
      </c>
      <c r="D335" t="s">
        <v>894</v>
      </c>
      <c r="F335" t="s">
        <v>895</v>
      </c>
      <c r="H335" s="9">
        <v>46246</v>
      </c>
      <c r="J335" t="s">
        <v>27</v>
      </c>
      <c r="L335" t="s">
        <v>896</v>
      </c>
      <c r="N335" t="s">
        <v>897</v>
      </c>
      <c r="P335" t="s">
        <v>77</v>
      </c>
      <c r="R335" t="s">
        <v>31</v>
      </c>
      <c r="T335" t="s">
        <v>32</v>
      </c>
      <c r="V335" t="s">
        <v>86</v>
      </c>
      <c r="X335" t="s">
        <v>86</v>
      </c>
      <c r="Z335" t="s">
        <v>77</v>
      </c>
      <c r="AB335" t="s">
        <v>95</v>
      </c>
      <c r="AD335" t="s">
        <v>65</v>
      </c>
      <c r="AF335" t="s">
        <v>898</v>
      </c>
      <c r="AH335" t="s">
        <v>38</v>
      </c>
      <c r="AJ335" t="s">
        <v>39</v>
      </c>
      <c r="AL335">
        <v>0</v>
      </c>
      <c r="AN335">
        <v>1</v>
      </c>
      <c r="AP335">
        <v>130000</v>
      </c>
      <c r="AR335">
        <v>130000</v>
      </c>
      <c r="AT335" t="s">
        <v>77</v>
      </c>
      <c r="AU335" t="str">
        <f t="shared" si="5"/>
        <v>Omset Interface</v>
      </c>
    </row>
    <row r="336" spans="2:47" ht="23.1" customHeight="1">
      <c r="B336" s="9">
        <v>46247</v>
      </c>
      <c r="D336" t="s">
        <v>894</v>
      </c>
      <c r="F336" t="s">
        <v>895</v>
      </c>
      <c r="H336" s="9">
        <v>46246</v>
      </c>
      <c r="J336" t="s">
        <v>27</v>
      </c>
      <c r="L336" t="s">
        <v>896</v>
      </c>
      <c r="N336" t="s">
        <v>897</v>
      </c>
      <c r="P336" t="s">
        <v>77</v>
      </c>
      <c r="R336" t="s">
        <v>31</v>
      </c>
      <c r="T336" t="s">
        <v>41</v>
      </c>
      <c r="V336" t="s">
        <v>86</v>
      </c>
      <c r="X336" t="s">
        <v>86</v>
      </c>
      <c r="Z336" t="s">
        <v>77</v>
      </c>
      <c r="AB336" t="s">
        <v>95</v>
      </c>
      <c r="AD336" t="s">
        <v>65</v>
      </c>
      <c r="AF336" t="s">
        <v>898</v>
      </c>
      <c r="AH336" t="s">
        <v>42</v>
      </c>
      <c r="AJ336" t="s">
        <v>43</v>
      </c>
      <c r="AL336">
        <v>17450</v>
      </c>
      <c r="AN336">
        <v>1</v>
      </c>
      <c r="AP336">
        <v>20000</v>
      </c>
      <c r="AR336">
        <v>20000</v>
      </c>
      <c r="AT336" t="s">
        <v>77</v>
      </c>
      <c r="AU336" t="str">
        <f t="shared" si="5"/>
        <v>Omset lainnya</v>
      </c>
    </row>
    <row r="337" spans="2:47" ht="23.1" customHeight="1">
      <c r="B337" s="9">
        <v>46245</v>
      </c>
      <c r="D337" t="s">
        <v>732</v>
      </c>
      <c r="F337" t="s">
        <v>733</v>
      </c>
      <c r="H337" s="9">
        <v>46245</v>
      </c>
      <c r="J337" t="s">
        <v>54</v>
      </c>
      <c r="L337" t="s">
        <v>734</v>
      </c>
      <c r="N337" t="s">
        <v>735</v>
      </c>
      <c r="P337" t="s">
        <v>77</v>
      </c>
      <c r="R337" t="s">
        <v>31</v>
      </c>
      <c r="T337" t="s">
        <v>94</v>
      </c>
      <c r="V337" t="s">
        <v>127</v>
      </c>
      <c r="X337" t="s">
        <v>127</v>
      </c>
      <c r="Z337" t="s">
        <v>64</v>
      </c>
      <c r="AB337" t="s">
        <v>35</v>
      </c>
      <c r="AD337" t="s">
        <v>128</v>
      </c>
      <c r="AF337" t="s">
        <v>736</v>
      </c>
      <c r="AH337" t="s">
        <v>899</v>
      </c>
      <c r="AJ337" t="s">
        <v>900</v>
      </c>
      <c r="AL337">
        <v>143500</v>
      </c>
      <c r="AN337">
        <v>1</v>
      </c>
      <c r="AP337">
        <v>160000</v>
      </c>
      <c r="AR337">
        <v>160000</v>
      </c>
      <c r="AT337" t="s">
        <v>77</v>
      </c>
      <c r="AU337" t="str">
        <f t="shared" si="5"/>
        <v>Omset lainnya</v>
      </c>
    </row>
    <row r="338" spans="2:47" ht="23.1" customHeight="1">
      <c r="B338" s="9">
        <v>46245</v>
      </c>
      <c r="D338" t="s">
        <v>828</v>
      </c>
      <c r="F338" t="s">
        <v>829</v>
      </c>
      <c r="H338" s="9">
        <v>46245</v>
      </c>
      <c r="J338" t="s">
        <v>27</v>
      </c>
      <c r="L338" t="s">
        <v>830</v>
      </c>
      <c r="N338" t="s">
        <v>133</v>
      </c>
      <c r="P338" t="s">
        <v>77</v>
      </c>
      <c r="R338" t="s">
        <v>31</v>
      </c>
      <c r="T338" t="s">
        <v>94</v>
      </c>
      <c r="V338" t="s">
        <v>86</v>
      </c>
      <c r="X338" t="s">
        <v>86</v>
      </c>
      <c r="Z338" t="s">
        <v>77</v>
      </c>
      <c r="AB338" t="s">
        <v>111</v>
      </c>
      <c r="AD338" t="s">
        <v>87</v>
      </c>
      <c r="AF338" t="s">
        <v>805</v>
      </c>
      <c r="AH338" t="s">
        <v>901</v>
      </c>
      <c r="AJ338" t="s">
        <v>902</v>
      </c>
      <c r="AL338">
        <v>74500</v>
      </c>
      <c r="AN338">
        <v>1</v>
      </c>
      <c r="AP338">
        <v>80000</v>
      </c>
      <c r="AR338">
        <v>80000</v>
      </c>
      <c r="AT338" t="s">
        <v>77</v>
      </c>
      <c r="AU338" t="str">
        <f t="shared" si="5"/>
        <v>Omset lainnya</v>
      </c>
    </row>
    <row r="339" spans="2:47" ht="23.1" customHeight="1">
      <c r="B339" s="9">
        <v>46246</v>
      </c>
      <c r="D339" t="s">
        <v>903</v>
      </c>
      <c r="F339" t="s">
        <v>904</v>
      </c>
      <c r="H339" s="9">
        <v>46246</v>
      </c>
      <c r="J339" t="s">
        <v>27</v>
      </c>
      <c r="L339" t="s">
        <v>905</v>
      </c>
      <c r="N339" t="s">
        <v>906</v>
      </c>
      <c r="P339" t="s">
        <v>57</v>
      </c>
      <c r="R339" t="s">
        <v>31</v>
      </c>
      <c r="T339" t="s">
        <v>32</v>
      </c>
      <c r="V339" t="s">
        <v>127</v>
      </c>
      <c r="X339" t="s">
        <v>127</v>
      </c>
      <c r="Z339" t="s">
        <v>310</v>
      </c>
      <c r="AB339" t="s">
        <v>35</v>
      </c>
      <c r="AD339" t="s">
        <v>58</v>
      </c>
      <c r="AF339" t="s">
        <v>907</v>
      </c>
      <c r="AH339" t="s">
        <v>38</v>
      </c>
      <c r="AJ339" t="s">
        <v>39</v>
      </c>
      <c r="AL339">
        <v>0</v>
      </c>
      <c r="AN339">
        <v>1</v>
      </c>
      <c r="AP339">
        <v>125000</v>
      </c>
      <c r="AR339">
        <v>125000</v>
      </c>
      <c r="AT339" t="s">
        <v>57</v>
      </c>
      <c r="AU339" t="str">
        <f t="shared" si="5"/>
        <v>Omset Interface</v>
      </c>
    </row>
    <row r="340" spans="2:47" ht="23.1" customHeight="1">
      <c r="B340" s="9">
        <v>46246</v>
      </c>
      <c r="D340" t="s">
        <v>903</v>
      </c>
      <c r="F340" t="s">
        <v>904</v>
      </c>
      <c r="H340" s="9">
        <v>46246</v>
      </c>
      <c r="J340" t="s">
        <v>27</v>
      </c>
      <c r="L340" t="s">
        <v>905</v>
      </c>
      <c r="N340" t="s">
        <v>906</v>
      </c>
      <c r="P340" t="s">
        <v>57</v>
      </c>
      <c r="R340" t="s">
        <v>31</v>
      </c>
      <c r="T340" t="s">
        <v>41</v>
      </c>
      <c r="V340" t="s">
        <v>127</v>
      </c>
      <c r="X340" t="s">
        <v>127</v>
      </c>
      <c r="Z340" t="s">
        <v>310</v>
      </c>
      <c r="AB340" t="s">
        <v>35</v>
      </c>
      <c r="AD340" t="s">
        <v>58</v>
      </c>
      <c r="AF340" t="s">
        <v>907</v>
      </c>
      <c r="AH340" t="s">
        <v>42</v>
      </c>
      <c r="AJ340" t="s">
        <v>43</v>
      </c>
      <c r="AL340">
        <v>17450</v>
      </c>
      <c r="AN340">
        <v>1</v>
      </c>
      <c r="AP340">
        <v>21000</v>
      </c>
      <c r="AR340">
        <v>21000</v>
      </c>
      <c r="AT340" t="s">
        <v>57</v>
      </c>
      <c r="AU340" t="str">
        <f t="shared" si="5"/>
        <v>Omset lainnya</v>
      </c>
    </row>
    <row r="341" spans="2:47" ht="23.1" customHeight="1">
      <c r="B341" s="9">
        <v>46253</v>
      </c>
      <c r="D341" t="s">
        <v>719</v>
      </c>
      <c r="F341" t="s">
        <v>720</v>
      </c>
      <c r="H341" s="9">
        <v>46244</v>
      </c>
      <c r="J341" t="s">
        <v>27</v>
      </c>
      <c r="L341" t="s">
        <v>721</v>
      </c>
      <c r="N341" t="s">
        <v>722</v>
      </c>
      <c r="P341" t="s">
        <v>57</v>
      </c>
      <c r="R341" t="s">
        <v>31</v>
      </c>
      <c r="T341" t="s">
        <v>94</v>
      </c>
      <c r="V341" t="s">
        <v>86</v>
      </c>
      <c r="X341" t="s">
        <v>86</v>
      </c>
      <c r="Z341" t="s">
        <v>57</v>
      </c>
      <c r="AB341" t="s">
        <v>95</v>
      </c>
      <c r="AD341" t="s">
        <v>65</v>
      </c>
      <c r="AF341" t="s">
        <v>723</v>
      </c>
      <c r="AH341" t="s">
        <v>908</v>
      </c>
      <c r="AJ341" t="s">
        <v>909</v>
      </c>
      <c r="AL341">
        <v>15000</v>
      </c>
      <c r="AN341">
        <v>1</v>
      </c>
      <c r="AP341">
        <v>20000</v>
      </c>
      <c r="AR341">
        <v>20000</v>
      </c>
      <c r="AU341" t="str">
        <f t="shared" si="5"/>
        <v>Omset lainnya</v>
      </c>
    </row>
    <row r="342" spans="2:47" ht="23.1" customHeight="1">
      <c r="B342" s="9">
        <v>46251</v>
      </c>
      <c r="D342" t="s">
        <v>910</v>
      </c>
      <c r="F342" t="s">
        <v>911</v>
      </c>
      <c r="H342" s="9">
        <v>46246</v>
      </c>
      <c r="J342" t="s">
        <v>54</v>
      </c>
      <c r="L342" t="s">
        <v>408</v>
      </c>
      <c r="N342" t="s">
        <v>409</v>
      </c>
      <c r="P342" t="s">
        <v>57</v>
      </c>
      <c r="R342" t="s">
        <v>31</v>
      </c>
      <c r="T342" t="s">
        <v>94</v>
      </c>
      <c r="V342" t="s">
        <v>33</v>
      </c>
      <c r="X342" t="s">
        <v>33</v>
      </c>
      <c r="Z342" t="s">
        <v>77</v>
      </c>
      <c r="AB342" t="s">
        <v>95</v>
      </c>
      <c r="AD342" t="s">
        <v>36</v>
      </c>
      <c r="AF342" t="s">
        <v>912</v>
      </c>
      <c r="AH342" t="s">
        <v>913</v>
      </c>
      <c r="AJ342" t="s">
        <v>914</v>
      </c>
      <c r="AL342">
        <v>10500</v>
      </c>
      <c r="AN342">
        <v>1</v>
      </c>
      <c r="AP342">
        <v>40000</v>
      </c>
      <c r="AR342">
        <v>40000</v>
      </c>
      <c r="AT342" t="s">
        <v>57</v>
      </c>
      <c r="AU342" t="str">
        <f t="shared" si="5"/>
        <v>Omset lainnya</v>
      </c>
    </row>
    <row r="343" spans="2:47" ht="23.1" customHeight="1">
      <c r="B343" s="9">
        <v>46247</v>
      </c>
      <c r="D343" t="s">
        <v>894</v>
      </c>
      <c r="F343" t="s">
        <v>895</v>
      </c>
      <c r="H343" s="9">
        <v>46246</v>
      </c>
      <c r="J343" t="s">
        <v>27</v>
      </c>
      <c r="L343" t="s">
        <v>896</v>
      </c>
      <c r="N343" t="s">
        <v>897</v>
      </c>
      <c r="P343" t="s">
        <v>77</v>
      </c>
      <c r="R343" t="s">
        <v>31</v>
      </c>
      <c r="T343" t="s">
        <v>94</v>
      </c>
      <c r="V343" t="s">
        <v>86</v>
      </c>
      <c r="X343" t="s">
        <v>86</v>
      </c>
      <c r="Z343" t="s">
        <v>77</v>
      </c>
      <c r="AB343" t="s">
        <v>95</v>
      </c>
      <c r="AD343" t="s">
        <v>65</v>
      </c>
      <c r="AF343" t="s">
        <v>898</v>
      </c>
      <c r="AH343" t="s">
        <v>915</v>
      </c>
      <c r="AJ343" t="s">
        <v>916</v>
      </c>
      <c r="AL343">
        <v>125000</v>
      </c>
      <c r="AN343">
        <v>1</v>
      </c>
      <c r="AP343">
        <v>130000</v>
      </c>
      <c r="AR343">
        <v>130000</v>
      </c>
      <c r="AT343" t="s">
        <v>77</v>
      </c>
      <c r="AU343" t="str">
        <f t="shared" si="5"/>
        <v>Omset lainnya</v>
      </c>
    </row>
    <row r="344" spans="2:47" ht="23.1" customHeight="1">
      <c r="B344" s="9">
        <v>46246</v>
      </c>
      <c r="D344" t="s">
        <v>839</v>
      </c>
      <c r="F344" t="s">
        <v>840</v>
      </c>
      <c r="H344" s="9">
        <v>46246</v>
      </c>
      <c r="J344" t="s">
        <v>54</v>
      </c>
      <c r="L344" t="s">
        <v>841</v>
      </c>
      <c r="N344" t="s">
        <v>842</v>
      </c>
      <c r="P344" t="s">
        <v>77</v>
      </c>
      <c r="R344" t="s">
        <v>31</v>
      </c>
      <c r="T344" t="s">
        <v>94</v>
      </c>
      <c r="V344" t="s">
        <v>86</v>
      </c>
      <c r="X344" t="s">
        <v>86</v>
      </c>
      <c r="Z344" t="s">
        <v>77</v>
      </c>
      <c r="AB344" t="s">
        <v>35</v>
      </c>
      <c r="AD344" t="s">
        <v>112</v>
      </c>
      <c r="AF344" t="s">
        <v>843</v>
      </c>
      <c r="AH344" t="s">
        <v>917</v>
      </c>
      <c r="AJ344" t="s">
        <v>918</v>
      </c>
      <c r="AL344">
        <v>135000</v>
      </c>
      <c r="AN344">
        <v>1</v>
      </c>
      <c r="AP344">
        <v>150000</v>
      </c>
      <c r="AR344">
        <v>150000</v>
      </c>
      <c r="AU344" t="str">
        <f t="shared" si="5"/>
        <v>Omset lainnya</v>
      </c>
    </row>
    <row r="345" spans="2:47" ht="23.1" customHeight="1">
      <c r="B345" s="9">
        <v>46245</v>
      </c>
      <c r="D345" t="s">
        <v>737</v>
      </c>
      <c r="F345" t="s">
        <v>738</v>
      </c>
      <c r="H345" s="9">
        <v>46245</v>
      </c>
      <c r="J345" t="s">
        <v>54</v>
      </c>
      <c r="L345" t="s">
        <v>739</v>
      </c>
      <c r="N345" t="s">
        <v>740</v>
      </c>
      <c r="P345" t="s">
        <v>77</v>
      </c>
      <c r="R345" t="s">
        <v>31</v>
      </c>
      <c r="T345" t="s">
        <v>94</v>
      </c>
      <c r="V345" t="s">
        <v>71</v>
      </c>
      <c r="X345" t="s">
        <v>71</v>
      </c>
      <c r="Z345" t="s">
        <v>77</v>
      </c>
      <c r="AB345" t="s">
        <v>35</v>
      </c>
      <c r="AD345" t="s">
        <v>50</v>
      </c>
      <c r="AF345" t="s">
        <v>187</v>
      </c>
      <c r="AH345" t="s">
        <v>454</v>
      </c>
      <c r="AJ345" t="s">
        <v>455</v>
      </c>
      <c r="AL345">
        <v>122500</v>
      </c>
      <c r="AN345">
        <v>1</v>
      </c>
      <c r="AP345">
        <v>137000</v>
      </c>
      <c r="AR345">
        <v>137000</v>
      </c>
      <c r="AT345" t="s">
        <v>77</v>
      </c>
      <c r="AU345" t="str">
        <f t="shared" si="5"/>
        <v>Omset lainnya</v>
      </c>
    </row>
    <row r="346" spans="2:47" ht="23.1" customHeight="1">
      <c r="B346" s="9">
        <v>46247</v>
      </c>
      <c r="D346" t="s">
        <v>919</v>
      </c>
      <c r="F346" t="s">
        <v>920</v>
      </c>
      <c r="H346" s="9">
        <v>46247</v>
      </c>
      <c r="J346" t="s">
        <v>27</v>
      </c>
      <c r="L346" t="s">
        <v>921</v>
      </c>
      <c r="N346" t="s">
        <v>922</v>
      </c>
      <c r="P346" t="s">
        <v>310</v>
      </c>
      <c r="R346" t="s">
        <v>31</v>
      </c>
      <c r="T346" t="s">
        <v>32</v>
      </c>
      <c r="V346" t="s">
        <v>127</v>
      </c>
      <c r="X346" t="s">
        <v>127</v>
      </c>
      <c r="Z346" t="s">
        <v>310</v>
      </c>
      <c r="AB346" t="s">
        <v>35</v>
      </c>
      <c r="AD346" t="s">
        <v>58</v>
      </c>
      <c r="AF346" t="s">
        <v>907</v>
      </c>
      <c r="AH346" t="s">
        <v>38</v>
      </c>
      <c r="AJ346" t="s">
        <v>39</v>
      </c>
      <c r="AL346">
        <v>0</v>
      </c>
      <c r="AN346">
        <v>1</v>
      </c>
      <c r="AP346">
        <v>184000</v>
      </c>
      <c r="AR346">
        <v>184000</v>
      </c>
      <c r="AT346" t="s">
        <v>310</v>
      </c>
      <c r="AU346" t="str">
        <f t="shared" si="5"/>
        <v>Omset Interface</v>
      </c>
    </row>
    <row r="347" spans="2:47" ht="23.1" customHeight="1">
      <c r="B347" s="9">
        <v>46247</v>
      </c>
      <c r="D347" t="s">
        <v>919</v>
      </c>
      <c r="F347" t="s">
        <v>920</v>
      </c>
      <c r="H347" s="9">
        <v>46247</v>
      </c>
      <c r="J347" t="s">
        <v>27</v>
      </c>
      <c r="L347" t="s">
        <v>921</v>
      </c>
      <c r="N347" t="s">
        <v>922</v>
      </c>
      <c r="P347" t="s">
        <v>310</v>
      </c>
      <c r="R347" t="s">
        <v>31</v>
      </c>
      <c r="T347" t="s">
        <v>41</v>
      </c>
      <c r="V347" t="s">
        <v>127</v>
      </c>
      <c r="X347" t="s">
        <v>127</v>
      </c>
      <c r="Z347" t="s">
        <v>310</v>
      </c>
      <c r="AB347" t="s">
        <v>35</v>
      </c>
      <c r="AD347" t="s">
        <v>58</v>
      </c>
      <c r="AF347" t="s">
        <v>907</v>
      </c>
      <c r="AH347" t="s">
        <v>42</v>
      </c>
      <c r="AJ347" t="s">
        <v>43</v>
      </c>
      <c r="AL347">
        <v>17450</v>
      </c>
      <c r="AN347">
        <v>1</v>
      </c>
      <c r="AP347">
        <v>21000</v>
      </c>
      <c r="AR347">
        <v>21000</v>
      </c>
      <c r="AT347" t="s">
        <v>310</v>
      </c>
      <c r="AU347" t="str">
        <f t="shared" si="5"/>
        <v>Omset lainnya</v>
      </c>
    </row>
    <row r="348" spans="2:47" ht="23.1" customHeight="1">
      <c r="B348" s="9">
        <v>46247</v>
      </c>
      <c r="D348" t="s">
        <v>919</v>
      </c>
      <c r="F348" t="s">
        <v>920</v>
      </c>
      <c r="H348" s="9">
        <v>46247</v>
      </c>
      <c r="J348" t="s">
        <v>27</v>
      </c>
      <c r="L348" t="s">
        <v>921</v>
      </c>
      <c r="N348" t="s">
        <v>922</v>
      </c>
      <c r="P348" t="s">
        <v>310</v>
      </c>
      <c r="R348" t="s">
        <v>31</v>
      </c>
      <c r="T348" t="s">
        <v>41</v>
      </c>
      <c r="V348" t="s">
        <v>127</v>
      </c>
      <c r="X348" t="s">
        <v>127</v>
      </c>
      <c r="Z348" t="s">
        <v>310</v>
      </c>
      <c r="AB348" t="s">
        <v>35</v>
      </c>
      <c r="AD348" t="s">
        <v>58</v>
      </c>
      <c r="AF348" t="s">
        <v>907</v>
      </c>
      <c r="AH348" t="s">
        <v>80</v>
      </c>
      <c r="AJ348" t="s">
        <v>81</v>
      </c>
      <c r="AL348">
        <v>20000</v>
      </c>
      <c r="AN348">
        <v>1</v>
      </c>
      <c r="AP348">
        <v>75000</v>
      </c>
      <c r="AR348">
        <v>75000</v>
      </c>
      <c r="AT348" t="s">
        <v>310</v>
      </c>
      <c r="AU348" t="str">
        <f t="shared" si="5"/>
        <v>Omset lainnya</v>
      </c>
    </row>
    <row r="349" spans="2:47" ht="14.1" customHeight="1">
      <c r="B349" s="9">
        <v>46247</v>
      </c>
      <c r="D349" t="s">
        <v>923</v>
      </c>
      <c r="F349" t="s">
        <v>924</v>
      </c>
      <c r="H349" s="9">
        <v>46247</v>
      </c>
      <c r="J349" t="s">
        <v>27</v>
      </c>
      <c r="L349" t="s">
        <v>925</v>
      </c>
      <c r="N349" t="s">
        <v>926</v>
      </c>
      <c r="P349" t="s">
        <v>77</v>
      </c>
      <c r="R349" t="s">
        <v>31</v>
      </c>
      <c r="T349" t="s">
        <v>32</v>
      </c>
      <c r="V349" t="s">
        <v>49</v>
      </c>
      <c r="X349" t="s">
        <v>49</v>
      </c>
      <c r="Z349" t="s">
        <v>77</v>
      </c>
      <c r="AB349" t="s">
        <v>95</v>
      </c>
      <c r="AD349" t="s">
        <v>65</v>
      </c>
      <c r="AF349" t="s">
        <v>927</v>
      </c>
      <c r="AH349" t="s">
        <v>620</v>
      </c>
      <c r="AJ349" t="s">
        <v>621</v>
      </c>
      <c r="AL349">
        <v>0</v>
      </c>
      <c r="AN349">
        <v>1</v>
      </c>
      <c r="AP349">
        <v>35000</v>
      </c>
      <c r="AR349">
        <v>35000</v>
      </c>
      <c r="AT349" t="s">
        <v>77</v>
      </c>
      <c r="AU349" t="str">
        <f t="shared" si="5"/>
        <v>Omset Normal</v>
      </c>
    </row>
    <row r="350" spans="2:47" ht="23.1" customHeight="1">
      <c r="B350" s="9">
        <v>46247</v>
      </c>
      <c r="D350" t="s">
        <v>928</v>
      </c>
      <c r="F350" t="s">
        <v>929</v>
      </c>
      <c r="H350" s="9">
        <v>46247</v>
      </c>
      <c r="J350" t="s">
        <v>27</v>
      </c>
      <c r="L350" t="s">
        <v>930</v>
      </c>
      <c r="N350" t="s">
        <v>651</v>
      </c>
      <c r="P350" t="s">
        <v>77</v>
      </c>
      <c r="R350" t="s">
        <v>31</v>
      </c>
      <c r="T350" t="s">
        <v>32</v>
      </c>
      <c r="V350" t="s">
        <v>127</v>
      </c>
      <c r="X350" t="s">
        <v>127</v>
      </c>
      <c r="Z350" t="s">
        <v>77</v>
      </c>
      <c r="AB350" t="s">
        <v>95</v>
      </c>
      <c r="AD350" t="s">
        <v>128</v>
      </c>
      <c r="AF350" t="s">
        <v>931</v>
      </c>
      <c r="AH350" t="s">
        <v>38</v>
      </c>
      <c r="AJ350" t="s">
        <v>39</v>
      </c>
      <c r="AL350">
        <v>0</v>
      </c>
      <c r="AN350">
        <v>1</v>
      </c>
      <c r="AP350">
        <v>68000</v>
      </c>
      <c r="AR350">
        <v>68000</v>
      </c>
      <c r="AU350" t="str">
        <f t="shared" si="5"/>
        <v>Omset Interface</v>
      </c>
    </row>
    <row r="351" spans="2:47" ht="23.1" customHeight="1">
      <c r="B351" s="9">
        <v>46247</v>
      </c>
      <c r="D351" t="s">
        <v>928</v>
      </c>
      <c r="F351" t="s">
        <v>929</v>
      </c>
      <c r="H351" s="9">
        <v>46247</v>
      </c>
      <c r="J351" t="s">
        <v>27</v>
      </c>
      <c r="L351" t="s">
        <v>930</v>
      </c>
      <c r="N351" t="s">
        <v>651</v>
      </c>
      <c r="P351" t="s">
        <v>77</v>
      </c>
      <c r="R351" t="s">
        <v>31</v>
      </c>
      <c r="T351" t="s">
        <v>41</v>
      </c>
      <c r="V351" t="s">
        <v>127</v>
      </c>
      <c r="X351" t="s">
        <v>127</v>
      </c>
      <c r="Z351" t="s">
        <v>77</v>
      </c>
      <c r="AB351" t="s">
        <v>95</v>
      </c>
      <c r="AD351" t="s">
        <v>128</v>
      </c>
      <c r="AF351" t="s">
        <v>931</v>
      </c>
      <c r="AH351" t="s">
        <v>42</v>
      </c>
      <c r="AJ351" t="s">
        <v>43</v>
      </c>
      <c r="AL351">
        <v>17450</v>
      </c>
      <c r="AN351">
        <v>1</v>
      </c>
      <c r="AP351">
        <v>20000</v>
      </c>
      <c r="AR351">
        <v>20000</v>
      </c>
      <c r="AU351" t="str">
        <f t="shared" si="5"/>
        <v>Omset lainnya</v>
      </c>
    </row>
    <row r="352" spans="2:47" ht="23.1" customHeight="1">
      <c r="B352" s="9">
        <v>46247</v>
      </c>
      <c r="D352" t="s">
        <v>848</v>
      </c>
      <c r="F352" t="s">
        <v>849</v>
      </c>
      <c r="H352" s="9">
        <v>46247</v>
      </c>
      <c r="J352" t="s">
        <v>27</v>
      </c>
      <c r="L352" t="s">
        <v>850</v>
      </c>
      <c r="N352" t="s">
        <v>851</v>
      </c>
      <c r="P352" t="s">
        <v>57</v>
      </c>
      <c r="R352" t="s">
        <v>31</v>
      </c>
      <c r="T352" t="s">
        <v>94</v>
      </c>
      <c r="V352" t="s">
        <v>71</v>
      </c>
      <c r="X352" t="s">
        <v>71</v>
      </c>
      <c r="Z352" t="s">
        <v>57</v>
      </c>
      <c r="AB352" t="s">
        <v>268</v>
      </c>
      <c r="AD352" t="s">
        <v>50</v>
      </c>
      <c r="AF352" t="s">
        <v>852</v>
      </c>
      <c r="AH352" t="s">
        <v>932</v>
      </c>
      <c r="AJ352" t="s">
        <v>933</v>
      </c>
      <c r="AL352">
        <v>133500</v>
      </c>
      <c r="AN352">
        <v>1</v>
      </c>
      <c r="AP352">
        <v>148000</v>
      </c>
      <c r="AR352">
        <v>148000</v>
      </c>
      <c r="AT352" t="s">
        <v>77</v>
      </c>
      <c r="AU352" t="str">
        <f t="shared" si="5"/>
        <v>Omset lainnya</v>
      </c>
    </row>
    <row r="353" spans="2:47" ht="23.1" customHeight="1">
      <c r="B353" s="9">
        <v>46247</v>
      </c>
      <c r="D353" t="s">
        <v>853</v>
      </c>
      <c r="F353" t="s">
        <v>854</v>
      </c>
      <c r="H353" s="9">
        <v>46247</v>
      </c>
      <c r="J353" t="s">
        <v>27</v>
      </c>
      <c r="L353" t="s">
        <v>855</v>
      </c>
      <c r="N353" t="s">
        <v>856</v>
      </c>
      <c r="P353" t="s">
        <v>310</v>
      </c>
      <c r="R353" t="s">
        <v>31</v>
      </c>
      <c r="T353" t="s">
        <v>94</v>
      </c>
      <c r="V353" t="s">
        <v>127</v>
      </c>
      <c r="X353" t="s">
        <v>127</v>
      </c>
      <c r="Z353" t="s">
        <v>310</v>
      </c>
      <c r="AB353" t="s">
        <v>35</v>
      </c>
      <c r="AD353" t="s">
        <v>112</v>
      </c>
      <c r="AF353" t="s">
        <v>857</v>
      </c>
      <c r="AH353" t="s">
        <v>934</v>
      </c>
      <c r="AJ353" t="s">
        <v>935</v>
      </c>
      <c r="AL353">
        <v>147000</v>
      </c>
      <c r="AN353">
        <v>1</v>
      </c>
      <c r="AP353">
        <v>162000</v>
      </c>
      <c r="AR353">
        <v>162000</v>
      </c>
      <c r="AT353" t="s">
        <v>310</v>
      </c>
      <c r="AU353" t="str">
        <f t="shared" si="5"/>
        <v>Omset lainnya</v>
      </c>
    </row>
    <row r="354" spans="2:47" ht="23.1" customHeight="1">
      <c r="B354" s="9">
        <v>46248</v>
      </c>
      <c r="D354" t="s">
        <v>936</v>
      </c>
      <c r="F354" t="s">
        <v>937</v>
      </c>
      <c r="H354" s="9">
        <v>46248</v>
      </c>
      <c r="J354" t="s">
        <v>54</v>
      </c>
      <c r="L354" t="s">
        <v>938</v>
      </c>
      <c r="N354" t="s">
        <v>103</v>
      </c>
      <c r="P354" t="s">
        <v>77</v>
      </c>
      <c r="R354" t="s">
        <v>31</v>
      </c>
      <c r="T354" t="s">
        <v>41</v>
      </c>
      <c r="Z354" t="s">
        <v>77</v>
      </c>
      <c r="AB354" t="s">
        <v>178</v>
      </c>
      <c r="AD354" t="s">
        <v>78</v>
      </c>
      <c r="AH354" t="s">
        <v>634</v>
      </c>
      <c r="AJ354" t="s">
        <v>635</v>
      </c>
      <c r="AL354">
        <v>19500</v>
      </c>
      <c r="AN354">
        <v>1</v>
      </c>
      <c r="AP354">
        <v>20000</v>
      </c>
      <c r="AR354">
        <v>20000</v>
      </c>
      <c r="AT354" t="s">
        <v>77</v>
      </c>
      <c r="AU354" t="str">
        <f t="shared" si="5"/>
        <v>Omset lainnya</v>
      </c>
    </row>
    <row r="355" spans="2:47" ht="23.1" customHeight="1">
      <c r="B355" s="9">
        <v>46248</v>
      </c>
      <c r="D355" t="s">
        <v>939</v>
      </c>
      <c r="F355" t="s">
        <v>940</v>
      </c>
      <c r="H355" s="9">
        <v>46248</v>
      </c>
      <c r="J355" t="s">
        <v>27</v>
      </c>
      <c r="L355" t="s">
        <v>941</v>
      </c>
      <c r="N355" t="s">
        <v>851</v>
      </c>
      <c r="P355" t="s">
        <v>77</v>
      </c>
      <c r="R355" t="s">
        <v>31</v>
      </c>
      <c r="T355" t="s">
        <v>32</v>
      </c>
      <c r="V355" t="s">
        <v>127</v>
      </c>
      <c r="X355" t="s">
        <v>127</v>
      </c>
      <c r="Z355" t="s">
        <v>64</v>
      </c>
      <c r="AB355" t="s">
        <v>35</v>
      </c>
      <c r="AD355" t="s">
        <v>112</v>
      </c>
      <c r="AF355" t="s">
        <v>942</v>
      </c>
      <c r="AH355" t="s">
        <v>38</v>
      </c>
      <c r="AJ355" t="s">
        <v>39</v>
      </c>
      <c r="AL355">
        <v>0</v>
      </c>
      <c r="AN355">
        <v>1</v>
      </c>
      <c r="AP355">
        <v>310000</v>
      </c>
      <c r="AR355">
        <v>310000</v>
      </c>
      <c r="AT355" t="s">
        <v>64</v>
      </c>
      <c r="AU355" t="str">
        <f t="shared" si="5"/>
        <v>Omset Interface</v>
      </c>
    </row>
    <row r="356" spans="2:47" ht="23.1" customHeight="1">
      <c r="B356" s="9">
        <v>46248</v>
      </c>
      <c r="D356" t="s">
        <v>939</v>
      </c>
      <c r="F356" t="s">
        <v>940</v>
      </c>
      <c r="H356" s="9">
        <v>46248</v>
      </c>
      <c r="J356" t="s">
        <v>27</v>
      </c>
      <c r="L356" t="s">
        <v>941</v>
      </c>
      <c r="N356" t="s">
        <v>851</v>
      </c>
      <c r="P356" t="s">
        <v>77</v>
      </c>
      <c r="R356" t="s">
        <v>31</v>
      </c>
      <c r="T356" t="s">
        <v>41</v>
      </c>
      <c r="V356" t="s">
        <v>127</v>
      </c>
      <c r="X356" t="s">
        <v>127</v>
      </c>
      <c r="Z356" t="s">
        <v>64</v>
      </c>
      <c r="AB356" t="s">
        <v>35</v>
      </c>
      <c r="AD356" t="s">
        <v>112</v>
      </c>
      <c r="AF356" t="s">
        <v>942</v>
      </c>
      <c r="AH356" t="s">
        <v>42</v>
      </c>
      <c r="AJ356" t="s">
        <v>43</v>
      </c>
      <c r="AL356">
        <v>17450</v>
      </c>
      <c r="AN356">
        <v>1</v>
      </c>
      <c r="AP356">
        <v>20000</v>
      </c>
      <c r="AR356">
        <v>20000</v>
      </c>
      <c r="AT356" t="s">
        <v>64</v>
      </c>
      <c r="AU356" t="str">
        <f t="shared" si="5"/>
        <v>Omset lainnya</v>
      </c>
    </row>
    <row r="357" spans="2:47" ht="23.1" customHeight="1">
      <c r="B357" s="9">
        <v>46249</v>
      </c>
      <c r="D357" t="s">
        <v>943</v>
      </c>
      <c r="F357" t="s">
        <v>944</v>
      </c>
      <c r="H357" s="9">
        <v>46249</v>
      </c>
      <c r="J357" t="s">
        <v>27</v>
      </c>
      <c r="L357" t="s">
        <v>437</v>
      </c>
      <c r="N357" t="s">
        <v>438</v>
      </c>
      <c r="P357" t="s">
        <v>77</v>
      </c>
      <c r="R357" t="s">
        <v>797</v>
      </c>
      <c r="T357" t="s">
        <v>798</v>
      </c>
      <c r="Z357" t="s">
        <v>77</v>
      </c>
      <c r="AB357" t="s">
        <v>178</v>
      </c>
      <c r="AD357" t="s">
        <v>65</v>
      </c>
      <c r="AF357" t="s">
        <v>489</v>
      </c>
      <c r="AH357" t="s">
        <v>945</v>
      </c>
      <c r="AJ357" t="s">
        <v>946</v>
      </c>
      <c r="AL357">
        <v>1895000</v>
      </c>
      <c r="AN357">
        <v>1</v>
      </c>
      <c r="AP357">
        <v>2065000</v>
      </c>
      <c r="AR357">
        <v>2065000</v>
      </c>
      <c r="AT357" t="s">
        <v>77</v>
      </c>
      <c r="AU357" t="str">
        <f t="shared" si="5"/>
        <v>Omset lainnya</v>
      </c>
    </row>
    <row r="358" spans="2:47" ht="23.1" customHeight="1">
      <c r="B358" s="9">
        <v>46249</v>
      </c>
      <c r="D358" t="s">
        <v>943</v>
      </c>
      <c r="F358" t="s">
        <v>944</v>
      </c>
      <c r="H358" s="9">
        <v>46249</v>
      </c>
      <c r="J358" t="s">
        <v>27</v>
      </c>
      <c r="L358" t="s">
        <v>437</v>
      </c>
      <c r="N358" t="s">
        <v>438</v>
      </c>
      <c r="P358" t="s">
        <v>77</v>
      </c>
      <c r="R358" t="s">
        <v>797</v>
      </c>
      <c r="T358" t="s">
        <v>41</v>
      </c>
      <c r="Z358" t="s">
        <v>77</v>
      </c>
      <c r="AB358" t="s">
        <v>178</v>
      </c>
      <c r="AD358" t="s">
        <v>65</v>
      </c>
      <c r="AF358" t="s">
        <v>489</v>
      </c>
      <c r="AH358" t="s">
        <v>80</v>
      </c>
      <c r="AJ358" t="s">
        <v>81</v>
      </c>
      <c r="AL358">
        <v>20000</v>
      </c>
      <c r="AN358">
        <v>1</v>
      </c>
      <c r="AP358">
        <v>35000</v>
      </c>
      <c r="AR358">
        <v>35000</v>
      </c>
      <c r="AT358" t="s">
        <v>77</v>
      </c>
      <c r="AU358" t="str">
        <f t="shared" si="5"/>
        <v>Omset lainnya</v>
      </c>
    </row>
    <row r="359" spans="2:47" ht="23.1" customHeight="1">
      <c r="B359" s="9">
        <v>46246</v>
      </c>
      <c r="D359" t="s">
        <v>903</v>
      </c>
      <c r="F359" t="s">
        <v>904</v>
      </c>
      <c r="H359" s="9">
        <v>46246</v>
      </c>
      <c r="J359" t="s">
        <v>27</v>
      </c>
      <c r="L359" t="s">
        <v>905</v>
      </c>
      <c r="N359" t="s">
        <v>906</v>
      </c>
      <c r="P359" t="s">
        <v>57</v>
      </c>
      <c r="R359" t="s">
        <v>31</v>
      </c>
      <c r="T359" t="s">
        <v>94</v>
      </c>
      <c r="V359" t="s">
        <v>127</v>
      </c>
      <c r="X359" t="s">
        <v>127</v>
      </c>
      <c r="Z359" t="s">
        <v>310</v>
      </c>
      <c r="AB359" t="s">
        <v>35</v>
      </c>
      <c r="AD359" t="s">
        <v>58</v>
      </c>
      <c r="AF359" t="s">
        <v>907</v>
      </c>
      <c r="AH359" t="s">
        <v>947</v>
      </c>
      <c r="AJ359" t="s">
        <v>948</v>
      </c>
      <c r="AL359">
        <v>140000</v>
      </c>
      <c r="AN359">
        <v>1</v>
      </c>
      <c r="AP359">
        <v>154000</v>
      </c>
      <c r="AR359">
        <v>154000</v>
      </c>
      <c r="AT359" t="s">
        <v>57</v>
      </c>
      <c r="AU359" t="str">
        <f t="shared" si="5"/>
        <v>Omset lainnya</v>
      </c>
    </row>
    <row r="360" spans="2:47" ht="23.1" customHeight="1">
      <c r="B360" s="9">
        <v>46249</v>
      </c>
      <c r="D360" t="s">
        <v>949</v>
      </c>
      <c r="F360" t="s">
        <v>950</v>
      </c>
      <c r="H360" s="9">
        <v>46249</v>
      </c>
      <c r="J360" t="s">
        <v>27</v>
      </c>
      <c r="L360" t="s">
        <v>951</v>
      </c>
      <c r="N360" t="s">
        <v>952</v>
      </c>
      <c r="P360" t="s">
        <v>64</v>
      </c>
      <c r="R360" t="s">
        <v>31</v>
      </c>
      <c r="T360" t="s">
        <v>94</v>
      </c>
      <c r="V360" t="s">
        <v>86</v>
      </c>
      <c r="X360" t="s">
        <v>86</v>
      </c>
      <c r="Z360" t="s">
        <v>64</v>
      </c>
      <c r="AB360" t="s">
        <v>268</v>
      </c>
      <c r="AD360" t="s">
        <v>65</v>
      </c>
      <c r="AF360" t="s">
        <v>444</v>
      </c>
      <c r="AH360" t="s">
        <v>953</v>
      </c>
      <c r="AJ360" t="s">
        <v>954</v>
      </c>
      <c r="AL360">
        <v>115500</v>
      </c>
      <c r="AN360">
        <v>1</v>
      </c>
      <c r="AP360">
        <v>128000</v>
      </c>
      <c r="AR360">
        <v>128000</v>
      </c>
      <c r="AT360" t="s">
        <v>64</v>
      </c>
      <c r="AU360" t="str">
        <f t="shared" si="5"/>
        <v>Omset lainnya</v>
      </c>
    </row>
    <row r="361" spans="2:47" ht="23.1" customHeight="1">
      <c r="B361" s="9">
        <v>46250</v>
      </c>
      <c r="D361" t="s">
        <v>955</v>
      </c>
      <c r="F361" t="s">
        <v>956</v>
      </c>
      <c r="H361" s="9">
        <v>46250</v>
      </c>
      <c r="J361" t="s">
        <v>27</v>
      </c>
      <c r="L361" t="s">
        <v>957</v>
      </c>
      <c r="N361" t="s">
        <v>882</v>
      </c>
      <c r="P361" t="s">
        <v>77</v>
      </c>
      <c r="R361" t="s">
        <v>173</v>
      </c>
      <c r="T361" t="s">
        <v>32</v>
      </c>
      <c r="V361" t="s">
        <v>33</v>
      </c>
      <c r="X361" t="s">
        <v>33</v>
      </c>
      <c r="Z361" t="s">
        <v>77</v>
      </c>
      <c r="AB361" t="s">
        <v>353</v>
      </c>
      <c r="AD361" t="s">
        <v>366</v>
      </c>
      <c r="AF361" t="s">
        <v>958</v>
      </c>
      <c r="AH361" t="s">
        <v>355</v>
      </c>
      <c r="AJ361" t="s">
        <v>356</v>
      </c>
      <c r="AL361">
        <v>0</v>
      </c>
      <c r="AN361">
        <v>1</v>
      </c>
      <c r="AP361">
        <v>180000</v>
      </c>
      <c r="AR361">
        <v>180000</v>
      </c>
      <c r="AT361" t="s">
        <v>77</v>
      </c>
      <c r="AU361" t="str">
        <f t="shared" si="5"/>
        <v>Omset Normal</v>
      </c>
    </row>
    <row r="362" spans="2:47" ht="23.1" customHeight="1">
      <c r="B362" s="9">
        <v>46250</v>
      </c>
      <c r="D362" t="s">
        <v>955</v>
      </c>
      <c r="F362" t="s">
        <v>956</v>
      </c>
      <c r="H362" s="9">
        <v>46250</v>
      </c>
      <c r="J362" t="s">
        <v>27</v>
      </c>
      <c r="L362" t="s">
        <v>957</v>
      </c>
      <c r="N362" t="s">
        <v>882</v>
      </c>
      <c r="P362" t="s">
        <v>77</v>
      </c>
      <c r="R362" t="s">
        <v>173</v>
      </c>
      <c r="T362" t="s">
        <v>41</v>
      </c>
      <c r="V362" t="s">
        <v>33</v>
      </c>
      <c r="X362" t="s">
        <v>33</v>
      </c>
      <c r="Z362" t="s">
        <v>77</v>
      </c>
      <c r="AB362" t="s">
        <v>353</v>
      </c>
      <c r="AD362" t="s">
        <v>366</v>
      </c>
      <c r="AF362" t="s">
        <v>958</v>
      </c>
      <c r="AH362" t="s">
        <v>42</v>
      </c>
      <c r="AJ362" t="s">
        <v>43</v>
      </c>
      <c r="AL362">
        <v>17450</v>
      </c>
      <c r="AN362">
        <v>1</v>
      </c>
      <c r="AP362">
        <v>20000</v>
      </c>
      <c r="AR362">
        <v>20000</v>
      </c>
      <c r="AT362" t="s">
        <v>77</v>
      </c>
      <c r="AU362" t="str">
        <f t="shared" si="5"/>
        <v>Omset lainnya</v>
      </c>
    </row>
    <row r="363" spans="2:47" ht="23.1" customHeight="1">
      <c r="B363" s="9">
        <v>46250</v>
      </c>
      <c r="D363" t="s">
        <v>959</v>
      </c>
      <c r="F363" t="s">
        <v>960</v>
      </c>
      <c r="H363" s="9">
        <v>46250</v>
      </c>
      <c r="J363" t="s">
        <v>54</v>
      </c>
      <c r="L363" t="s">
        <v>961</v>
      </c>
      <c r="N363" t="s">
        <v>962</v>
      </c>
      <c r="P363" t="s">
        <v>77</v>
      </c>
      <c r="R363" t="s">
        <v>31</v>
      </c>
      <c r="T363" t="s">
        <v>32</v>
      </c>
      <c r="V363" t="s">
        <v>86</v>
      </c>
      <c r="X363" t="s">
        <v>86</v>
      </c>
      <c r="Z363" t="s">
        <v>77</v>
      </c>
      <c r="AB363" t="s">
        <v>268</v>
      </c>
      <c r="AD363" t="s">
        <v>65</v>
      </c>
      <c r="AF363" t="s">
        <v>235</v>
      </c>
      <c r="AH363" t="s">
        <v>270</v>
      </c>
      <c r="AJ363" t="s">
        <v>271</v>
      </c>
      <c r="AL363">
        <v>0</v>
      </c>
      <c r="AN363">
        <v>1</v>
      </c>
      <c r="AP363">
        <v>44000</v>
      </c>
      <c r="AR363">
        <v>44000</v>
      </c>
      <c r="AT363" t="s">
        <v>77</v>
      </c>
      <c r="AU363" t="str">
        <f t="shared" si="5"/>
        <v>Omset Interface</v>
      </c>
    </row>
    <row r="364" spans="2:47" ht="23.1" customHeight="1">
      <c r="B364" s="9">
        <v>46250</v>
      </c>
      <c r="D364" t="s">
        <v>959</v>
      </c>
      <c r="F364" t="s">
        <v>960</v>
      </c>
      <c r="H364" s="9">
        <v>46250</v>
      </c>
      <c r="J364" t="s">
        <v>54</v>
      </c>
      <c r="L364" t="s">
        <v>961</v>
      </c>
      <c r="N364" t="s">
        <v>962</v>
      </c>
      <c r="P364" t="s">
        <v>77</v>
      </c>
      <c r="R364" t="s">
        <v>31</v>
      </c>
      <c r="T364" t="s">
        <v>41</v>
      </c>
      <c r="V364" t="s">
        <v>86</v>
      </c>
      <c r="X364" t="s">
        <v>86</v>
      </c>
      <c r="Z364" t="s">
        <v>77</v>
      </c>
      <c r="AB364" t="s">
        <v>268</v>
      </c>
      <c r="AD364" t="s">
        <v>65</v>
      </c>
      <c r="AF364" t="s">
        <v>235</v>
      </c>
      <c r="AH364" t="s">
        <v>42</v>
      </c>
      <c r="AJ364" t="s">
        <v>43</v>
      </c>
      <c r="AL364">
        <v>17450</v>
      </c>
      <c r="AN364">
        <v>1</v>
      </c>
      <c r="AP364">
        <v>20000</v>
      </c>
      <c r="AR364">
        <v>20000</v>
      </c>
      <c r="AT364" t="s">
        <v>77</v>
      </c>
      <c r="AU364" t="str">
        <f t="shared" si="5"/>
        <v>Omset lainnya</v>
      </c>
    </row>
    <row r="365" spans="2:47" ht="23.1" customHeight="1">
      <c r="B365" s="9">
        <v>46250</v>
      </c>
      <c r="D365" t="s">
        <v>963</v>
      </c>
      <c r="F365" t="s">
        <v>964</v>
      </c>
      <c r="H365" s="9">
        <v>46250</v>
      </c>
      <c r="J365" t="s">
        <v>27</v>
      </c>
      <c r="L365" t="s">
        <v>589</v>
      </c>
      <c r="N365" t="s">
        <v>590</v>
      </c>
      <c r="P365" t="s">
        <v>64</v>
      </c>
      <c r="R365" t="s">
        <v>31</v>
      </c>
      <c r="T365" t="s">
        <v>32</v>
      </c>
      <c r="V365" t="s">
        <v>49</v>
      </c>
      <c r="X365" t="s">
        <v>49</v>
      </c>
      <c r="Z365" t="s">
        <v>64</v>
      </c>
      <c r="AB365" t="s">
        <v>965</v>
      </c>
      <c r="AD365" t="s">
        <v>65</v>
      </c>
      <c r="AF365" t="s">
        <v>591</v>
      </c>
      <c r="AH365" t="s">
        <v>114</v>
      </c>
      <c r="AJ365" t="s">
        <v>115</v>
      </c>
      <c r="AL365">
        <v>0</v>
      </c>
      <c r="AN365">
        <v>1</v>
      </c>
      <c r="AP365">
        <v>80000</v>
      </c>
      <c r="AR365">
        <v>80000</v>
      </c>
      <c r="AT365" t="s">
        <v>64</v>
      </c>
      <c r="AU365" t="str">
        <f t="shared" si="5"/>
        <v>Omset Normal</v>
      </c>
    </row>
    <row r="366" spans="2:47" ht="23.1" customHeight="1">
      <c r="B366" s="9">
        <v>46250</v>
      </c>
      <c r="D366" t="s">
        <v>963</v>
      </c>
      <c r="F366" t="s">
        <v>964</v>
      </c>
      <c r="H366" s="9">
        <v>46250</v>
      </c>
      <c r="J366" t="s">
        <v>27</v>
      </c>
      <c r="L366" t="s">
        <v>589</v>
      </c>
      <c r="N366" t="s">
        <v>590</v>
      </c>
      <c r="P366" t="s">
        <v>64</v>
      </c>
      <c r="R366" t="s">
        <v>31</v>
      </c>
      <c r="T366" t="s">
        <v>41</v>
      </c>
      <c r="V366" t="s">
        <v>49</v>
      </c>
      <c r="X366" t="s">
        <v>49</v>
      </c>
      <c r="Z366" t="s">
        <v>64</v>
      </c>
      <c r="AB366" t="s">
        <v>965</v>
      </c>
      <c r="AD366" t="s">
        <v>65</v>
      </c>
      <c r="AF366" t="s">
        <v>591</v>
      </c>
      <c r="AH366" t="s">
        <v>42</v>
      </c>
      <c r="AJ366" t="s">
        <v>43</v>
      </c>
      <c r="AL366">
        <v>17450</v>
      </c>
      <c r="AN366">
        <v>1</v>
      </c>
      <c r="AP366">
        <v>20000</v>
      </c>
      <c r="AR366">
        <v>20000</v>
      </c>
      <c r="AT366" t="s">
        <v>64</v>
      </c>
      <c r="AU366" t="str">
        <f t="shared" si="5"/>
        <v>Omset lainnya</v>
      </c>
    </row>
    <row r="367" spans="2:47" ht="23.1" customHeight="1">
      <c r="B367" s="9">
        <v>46250</v>
      </c>
      <c r="D367" t="s">
        <v>966</v>
      </c>
      <c r="F367" t="s">
        <v>967</v>
      </c>
      <c r="H367" s="9">
        <v>46250</v>
      </c>
      <c r="J367" t="s">
        <v>27</v>
      </c>
      <c r="L367" t="s">
        <v>968</v>
      </c>
      <c r="N367" t="s">
        <v>969</v>
      </c>
      <c r="P367" t="s">
        <v>57</v>
      </c>
      <c r="R367" t="s">
        <v>31</v>
      </c>
      <c r="T367" t="s">
        <v>32</v>
      </c>
      <c r="V367" t="s">
        <v>49</v>
      </c>
      <c r="X367" t="s">
        <v>49</v>
      </c>
      <c r="Z367" t="s">
        <v>57</v>
      </c>
      <c r="AB367" t="s">
        <v>35</v>
      </c>
      <c r="AD367" t="s">
        <v>50</v>
      </c>
      <c r="AF367" t="s">
        <v>970</v>
      </c>
      <c r="AH367" t="s">
        <v>38</v>
      </c>
      <c r="AJ367" t="s">
        <v>39</v>
      </c>
      <c r="AL367">
        <v>0</v>
      </c>
      <c r="AN367">
        <v>1</v>
      </c>
      <c r="AP367">
        <v>120000</v>
      </c>
      <c r="AR367">
        <v>120000</v>
      </c>
      <c r="AT367" t="s">
        <v>57</v>
      </c>
      <c r="AU367" t="str">
        <f t="shared" si="5"/>
        <v>Omset Interface</v>
      </c>
    </row>
    <row r="368" spans="2:47" ht="23.1" customHeight="1">
      <c r="B368" s="9">
        <v>46250</v>
      </c>
      <c r="D368" t="s">
        <v>966</v>
      </c>
      <c r="F368" t="s">
        <v>967</v>
      </c>
      <c r="H368" s="9">
        <v>46250</v>
      </c>
      <c r="J368" t="s">
        <v>27</v>
      </c>
      <c r="L368" t="s">
        <v>968</v>
      </c>
      <c r="N368" t="s">
        <v>969</v>
      </c>
      <c r="P368" t="s">
        <v>57</v>
      </c>
      <c r="R368" t="s">
        <v>31</v>
      </c>
      <c r="T368" t="s">
        <v>41</v>
      </c>
      <c r="V368" t="s">
        <v>49</v>
      </c>
      <c r="X368" t="s">
        <v>49</v>
      </c>
      <c r="Z368" t="s">
        <v>57</v>
      </c>
      <c r="AB368" t="s">
        <v>35</v>
      </c>
      <c r="AD368" t="s">
        <v>50</v>
      </c>
      <c r="AF368" t="s">
        <v>970</v>
      </c>
      <c r="AH368" t="s">
        <v>42</v>
      </c>
      <c r="AJ368" t="s">
        <v>43</v>
      </c>
      <c r="AL368">
        <v>17450</v>
      </c>
      <c r="AN368">
        <v>1</v>
      </c>
      <c r="AP368">
        <v>20000</v>
      </c>
      <c r="AR368">
        <v>20000</v>
      </c>
      <c r="AT368" t="s">
        <v>57</v>
      </c>
      <c r="AU368" t="str">
        <f t="shared" si="5"/>
        <v>Omset lainnya</v>
      </c>
    </row>
    <row r="369" spans="2:47" ht="23.1" customHeight="1">
      <c r="B369" s="9">
        <v>46255</v>
      </c>
      <c r="D369" t="s">
        <v>130</v>
      </c>
      <c r="F369" t="s">
        <v>131</v>
      </c>
      <c r="H369" s="9">
        <v>46236</v>
      </c>
      <c r="J369" t="s">
        <v>54</v>
      </c>
      <c r="L369" t="s">
        <v>132</v>
      </c>
      <c r="N369" t="s">
        <v>133</v>
      </c>
      <c r="P369" t="s">
        <v>77</v>
      </c>
      <c r="R369" t="s">
        <v>31</v>
      </c>
      <c r="T369" t="s">
        <v>32</v>
      </c>
      <c r="V369" t="s">
        <v>49</v>
      </c>
      <c r="X369" t="s">
        <v>49</v>
      </c>
      <c r="Z369" t="s">
        <v>64</v>
      </c>
      <c r="AB369" t="s">
        <v>35</v>
      </c>
      <c r="AD369" t="s">
        <v>36</v>
      </c>
      <c r="AF369" t="s">
        <v>134</v>
      </c>
      <c r="AH369" t="s">
        <v>38</v>
      </c>
      <c r="AJ369" t="s">
        <v>39</v>
      </c>
      <c r="AL369">
        <v>0</v>
      </c>
      <c r="AN369">
        <v>1</v>
      </c>
      <c r="AP369">
        <v>0</v>
      </c>
      <c r="AR369">
        <v>0</v>
      </c>
      <c r="AU369" t="str">
        <f t="shared" si="5"/>
        <v>Omset Interface</v>
      </c>
    </row>
    <row r="370" spans="2:47" ht="23.1" customHeight="1">
      <c r="B370" s="9">
        <v>46250</v>
      </c>
      <c r="D370" t="s">
        <v>971</v>
      </c>
      <c r="F370" t="s">
        <v>972</v>
      </c>
      <c r="H370" s="9">
        <v>46249</v>
      </c>
      <c r="J370" t="s">
        <v>27</v>
      </c>
      <c r="L370" t="s">
        <v>973</v>
      </c>
      <c r="N370" t="s">
        <v>974</v>
      </c>
      <c r="P370" t="s">
        <v>77</v>
      </c>
      <c r="R370" t="s">
        <v>31</v>
      </c>
      <c r="T370" t="s">
        <v>32</v>
      </c>
      <c r="V370" t="s">
        <v>49</v>
      </c>
      <c r="X370" t="s">
        <v>49</v>
      </c>
      <c r="Z370" t="s">
        <v>57</v>
      </c>
      <c r="AB370" t="s">
        <v>95</v>
      </c>
      <c r="AD370" t="s">
        <v>65</v>
      </c>
      <c r="AF370" t="s">
        <v>975</v>
      </c>
      <c r="AH370" t="s">
        <v>38</v>
      </c>
      <c r="AJ370" t="s">
        <v>39</v>
      </c>
      <c r="AL370">
        <v>0</v>
      </c>
      <c r="AN370">
        <v>1</v>
      </c>
      <c r="AP370">
        <v>797000</v>
      </c>
      <c r="AR370">
        <v>797000</v>
      </c>
      <c r="AU370" t="str">
        <f t="shared" si="5"/>
        <v>Omset Interface</v>
      </c>
    </row>
    <row r="371" spans="2:47" ht="23.1" customHeight="1">
      <c r="B371" s="9">
        <v>46250</v>
      </c>
      <c r="D371" t="s">
        <v>971</v>
      </c>
      <c r="F371" t="s">
        <v>972</v>
      </c>
      <c r="H371" s="9">
        <v>46249</v>
      </c>
      <c r="J371" t="s">
        <v>27</v>
      </c>
      <c r="L371" t="s">
        <v>973</v>
      </c>
      <c r="N371" t="s">
        <v>974</v>
      </c>
      <c r="P371" t="s">
        <v>77</v>
      </c>
      <c r="R371" t="s">
        <v>31</v>
      </c>
      <c r="T371" t="s">
        <v>41</v>
      </c>
      <c r="V371" t="s">
        <v>49</v>
      </c>
      <c r="X371" t="s">
        <v>49</v>
      </c>
      <c r="Z371" t="s">
        <v>57</v>
      </c>
      <c r="AB371" t="s">
        <v>95</v>
      </c>
      <c r="AD371" t="s">
        <v>65</v>
      </c>
      <c r="AF371" t="s">
        <v>975</v>
      </c>
      <c r="AH371" t="s">
        <v>42</v>
      </c>
      <c r="AJ371" t="s">
        <v>43</v>
      </c>
      <c r="AL371">
        <v>17450</v>
      </c>
      <c r="AN371">
        <v>1</v>
      </c>
      <c r="AP371">
        <v>20000</v>
      </c>
      <c r="AR371">
        <v>20000</v>
      </c>
      <c r="AU371" t="str">
        <f t="shared" si="5"/>
        <v>Omset lainnya</v>
      </c>
    </row>
    <row r="372" spans="2:47" ht="23.1" customHeight="1">
      <c r="B372" s="9">
        <v>46251</v>
      </c>
      <c r="D372" t="s">
        <v>976</v>
      </c>
      <c r="F372" t="s">
        <v>977</v>
      </c>
      <c r="H372" s="9">
        <v>46251</v>
      </c>
      <c r="J372" t="s">
        <v>27</v>
      </c>
      <c r="L372" t="s">
        <v>978</v>
      </c>
      <c r="N372" t="s">
        <v>306</v>
      </c>
      <c r="P372" t="s">
        <v>77</v>
      </c>
      <c r="R372" t="s">
        <v>31</v>
      </c>
      <c r="T372" t="s">
        <v>32</v>
      </c>
      <c r="V372" t="s">
        <v>86</v>
      </c>
      <c r="X372" t="s">
        <v>86</v>
      </c>
      <c r="Z372" t="s">
        <v>77</v>
      </c>
      <c r="AB372" t="s">
        <v>35</v>
      </c>
      <c r="AD372" t="s">
        <v>87</v>
      </c>
      <c r="AF372" t="s">
        <v>979</v>
      </c>
      <c r="AH372" t="s">
        <v>38</v>
      </c>
      <c r="AJ372" t="s">
        <v>39</v>
      </c>
      <c r="AL372">
        <v>0</v>
      </c>
      <c r="AN372">
        <v>1</v>
      </c>
      <c r="AP372">
        <v>120000</v>
      </c>
      <c r="AR372">
        <v>120000</v>
      </c>
      <c r="AU372" t="str">
        <f t="shared" si="5"/>
        <v>Omset Interface</v>
      </c>
    </row>
    <row r="373" spans="2:47" ht="23.1" customHeight="1">
      <c r="B373" s="9">
        <v>46251</v>
      </c>
      <c r="D373" t="s">
        <v>976</v>
      </c>
      <c r="F373" t="s">
        <v>977</v>
      </c>
      <c r="H373" s="9">
        <v>46251</v>
      </c>
      <c r="J373" t="s">
        <v>27</v>
      </c>
      <c r="L373" t="s">
        <v>978</v>
      </c>
      <c r="N373" t="s">
        <v>306</v>
      </c>
      <c r="P373" t="s">
        <v>77</v>
      </c>
      <c r="R373" t="s">
        <v>31</v>
      </c>
      <c r="T373" t="s">
        <v>41</v>
      </c>
      <c r="V373" t="s">
        <v>86</v>
      </c>
      <c r="X373" t="s">
        <v>86</v>
      </c>
      <c r="Z373" t="s">
        <v>77</v>
      </c>
      <c r="AB373" t="s">
        <v>35</v>
      </c>
      <c r="AD373" t="s">
        <v>87</v>
      </c>
      <c r="AF373" t="s">
        <v>979</v>
      </c>
      <c r="AH373" t="s">
        <v>42</v>
      </c>
      <c r="AJ373" t="s">
        <v>43</v>
      </c>
      <c r="AL373">
        <v>17450</v>
      </c>
      <c r="AN373">
        <v>1</v>
      </c>
      <c r="AP373">
        <v>20000</v>
      </c>
      <c r="AR373">
        <v>20000</v>
      </c>
      <c r="AU373" t="str">
        <f t="shared" si="5"/>
        <v>Omset lainnya</v>
      </c>
    </row>
    <row r="374" spans="2:47" ht="23.1" customHeight="1">
      <c r="B374" s="9">
        <v>46251</v>
      </c>
      <c r="D374" t="s">
        <v>980</v>
      </c>
      <c r="F374" t="s">
        <v>981</v>
      </c>
      <c r="H374" s="9">
        <v>46250</v>
      </c>
      <c r="J374" t="s">
        <v>27</v>
      </c>
      <c r="L374" t="s">
        <v>982</v>
      </c>
      <c r="N374" t="s">
        <v>983</v>
      </c>
      <c r="P374" t="s">
        <v>64</v>
      </c>
      <c r="R374" t="s">
        <v>31</v>
      </c>
      <c r="T374" t="s">
        <v>32</v>
      </c>
      <c r="V374" t="s">
        <v>71</v>
      </c>
      <c r="X374" t="s">
        <v>71</v>
      </c>
      <c r="Z374" t="s">
        <v>57</v>
      </c>
      <c r="AB374" t="s">
        <v>178</v>
      </c>
      <c r="AD374" t="s">
        <v>65</v>
      </c>
      <c r="AF374" t="s">
        <v>444</v>
      </c>
      <c r="AH374" t="s">
        <v>114</v>
      </c>
      <c r="AJ374" t="s">
        <v>115</v>
      </c>
      <c r="AL374">
        <v>0</v>
      </c>
      <c r="AN374">
        <v>1</v>
      </c>
      <c r="AP374">
        <v>100000</v>
      </c>
      <c r="AR374">
        <v>100000</v>
      </c>
      <c r="AT374" t="s">
        <v>64</v>
      </c>
      <c r="AU374" t="str">
        <f t="shared" si="5"/>
        <v>Omset Normal</v>
      </c>
    </row>
    <row r="375" spans="2:47" ht="23.1" customHeight="1">
      <c r="B375" s="9">
        <v>46251</v>
      </c>
      <c r="D375" t="s">
        <v>984</v>
      </c>
      <c r="F375" t="s">
        <v>985</v>
      </c>
      <c r="H375" s="9">
        <v>46251</v>
      </c>
      <c r="J375" t="s">
        <v>27</v>
      </c>
      <c r="L375" t="s">
        <v>986</v>
      </c>
      <c r="N375" t="s">
        <v>987</v>
      </c>
      <c r="P375" t="s">
        <v>57</v>
      </c>
      <c r="R375" t="s">
        <v>177</v>
      </c>
      <c r="T375" t="s">
        <v>41</v>
      </c>
      <c r="Z375" t="s">
        <v>57</v>
      </c>
      <c r="AB375" t="s">
        <v>178</v>
      </c>
      <c r="AD375" t="s">
        <v>78</v>
      </c>
      <c r="AF375" t="s">
        <v>178</v>
      </c>
      <c r="AH375" t="s">
        <v>988</v>
      </c>
      <c r="AJ375" t="s">
        <v>989</v>
      </c>
      <c r="AL375">
        <v>467000</v>
      </c>
      <c r="AN375">
        <v>1</v>
      </c>
      <c r="AP375">
        <v>470000</v>
      </c>
      <c r="AR375">
        <v>470000</v>
      </c>
      <c r="AT375" t="s">
        <v>57</v>
      </c>
      <c r="AU375" t="str">
        <f t="shared" si="5"/>
        <v>Omset lainnya</v>
      </c>
    </row>
    <row r="376" spans="2:47" ht="23.1" customHeight="1">
      <c r="B376" s="9">
        <v>46251</v>
      </c>
      <c r="D376" t="s">
        <v>990</v>
      </c>
      <c r="F376" t="s">
        <v>991</v>
      </c>
      <c r="H376" s="9">
        <v>46251</v>
      </c>
      <c r="J376" t="s">
        <v>27</v>
      </c>
      <c r="L376" t="s">
        <v>992</v>
      </c>
      <c r="N376" t="s">
        <v>993</v>
      </c>
      <c r="P376" t="s">
        <v>64</v>
      </c>
      <c r="R376" t="s">
        <v>177</v>
      </c>
      <c r="T376" t="s">
        <v>41</v>
      </c>
      <c r="Z376" t="s">
        <v>64</v>
      </c>
      <c r="AB376" t="s">
        <v>178</v>
      </c>
      <c r="AD376" t="s">
        <v>78</v>
      </c>
      <c r="AF376" t="s">
        <v>994</v>
      </c>
      <c r="AH376" t="s">
        <v>995</v>
      </c>
      <c r="AJ376" t="s">
        <v>996</v>
      </c>
      <c r="AL376">
        <v>75000</v>
      </c>
      <c r="AN376">
        <v>1</v>
      </c>
      <c r="AP376">
        <v>118000</v>
      </c>
      <c r="AR376">
        <v>118000</v>
      </c>
      <c r="AT376" t="s">
        <v>64</v>
      </c>
      <c r="AU376" t="str">
        <f t="shared" si="5"/>
        <v>Omset lainnya</v>
      </c>
    </row>
    <row r="377" spans="2:47" ht="23.1" customHeight="1">
      <c r="B377" s="9">
        <v>46256</v>
      </c>
      <c r="D377" t="s">
        <v>997</v>
      </c>
      <c r="F377" t="s">
        <v>998</v>
      </c>
      <c r="H377" s="9">
        <v>46251</v>
      </c>
      <c r="J377" t="s">
        <v>27</v>
      </c>
      <c r="L377" t="s">
        <v>999</v>
      </c>
      <c r="N377" t="s">
        <v>1000</v>
      </c>
      <c r="P377" t="s">
        <v>64</v>
      </c>
      <c r="R377" t="s">
        <v>31</v>
      </c>
      <c r="T377" t="s">
        <v>94</v>
      </c>
      <c r="V377" t="s">
        <v>49</v>
      </c>
      <c r="X377" t="s">
        <v>49</v>
      </c>
      <c r="Z377" t="s">
        <v>57</v>
      </c>
      <c r="AB377" t="s">
        <v>268</v>
      </c>
      <c r="AD377" t="s">
        <v>65</v>
      </c>
      <c r="AF377" t="s">
        <v>1001</v>
      </c>
      <c r="AH377" t="s">
        <v>1002</v>
      </c>
      <c r="AJ377" t="s">
        <v>1003</v>
      </c>
      <c r="AL377">
        <v>375000</v>
      </c>
      <c r="AN377">
        <v>1</v>
      </c>
      <c r="AP377">
        <v>415000</v>
      </c>
      <c r="AR377">
        <v>415000</v>
      </c>
      <c r="AU377" t="str">
        <f t="shared" si="5"/>
        <v>Omset lainnya</v>
      </c>
    </row>
    <row r="378" spans="2:47" ht="23.1" customHeight="1">
      <c r="B378" s="9">
        <v>46253</v>
      </c>
      <c r="D378" t="s">
        <v>1004</v>
      </c>
      <c r="F378" t="s">
        <v>1005</v>
      </c>
      <c r="H378" s="9">
        <v>46250</v>
      </c>
      <c r="J378" t="s">
        <v>27</v>
      </c>
      <c r="L378" t="s">
        <v>1006</v>
      </c>
      <c r="N378" t="s">
        <v>1007</v>
      </c>
      <c r="P378" t="s">
        <v>64</v>
      </c>
      <c r="R378" t="s">
        <v>31</v>
      </c>
      <c r="T378" t="s">
        <v>94</v>
      </c>
      <c r="V378" t="s">
        <v>86</v>
      </c>
      <c r="X378" t="s">
        <v>86</v>
      </c>
      <c r="Z378" t="s">
        <v>77</v>
      </c>
      <c r="AB378" t="s">
        <v>268</v>
      </c>
      <c r="AD378" t="s">
        <v>568</v>
      </c>
      <c r="AF378" t="s">
        <v>1008</v>
      </c>
      <c r="AH378" t="s">
        <v>1009</v>
      </c>
      <c r="AJ378" t="s">
        <v>1010</v>
      </c>
      <c r="AL378">
        <v>128000</v>
      </c>
      <c r="AN378">
        <v>1</v>
      </c>
      <c r="AP378">
        <v>130000</v>
      </c>
      <c r="AR378">
        <v>130000</v>
      </c>
      <c r="AT378" t="s">
        <v>64</v>
      </c>
      <c r="AU378" t="str">
        <f t="shared" si="5"/>
        <v>Omset lainnya</v>
      </c>
    </row>
    <row r="379" spans="2:47" ht="23.1" customHeight="1">
      <c r="B379" s="9">
        <v>46252</v>
      </c>
      <c r="D379" t="s">
        <v>1011</v>
      </c>
      <c r="F379" t="s">
        <v>1012</v>
      </c>
      <c r="H379" s="9">
        <v>46252</v>
      </c>
      <c r="J379" t="s">
        <v>27</v>
      </c>
      <c r="L379" t="s">
        <v>1013</v>
      </c>
      <c r="N379" t="s">
        <v>1014</v>
      </c>
      <c r="P379" t="s">
        <v>64</v>
      </c>
      <c r="R379" t="s">
        <v>31</v>
      </c>
      <c r="T379" t="s">
        <v>41</v>
      </c>
      <c r="V379" t="s">
        <v>86</v>
      </c>
      <c r="X379" t="s">
        <v>86</v>
      </c>
      <c r="Z379" t="s">
        <v>64</v>
      </c>
      <c r="AB379" t="s">
        <v>35</v>
      </c>
      <c r="AD379" t="s">
        <v>112</v>
      </c>
      <c r="AF379" t="s">
        <v>1015</v>
      </c>
      <c r="AH379" t="s">
        <v>1016</v>
      </c>
      <c r="AJ379" t="s">
        <v>1017</v>
      </c>
      <c r="AL379">
        <v>35700</v>
      </c>
      <c r="AN379">
        <v>1</v>
      </c>
      <c r="AP379">
        <v>40000</v>
      </c>
      <c r="AR379">
        <v>40000</v>
      </c>
      <c r="AT379" t="s">
        <v>64</v>
      </c>
      <c r="AU379" t="str">
        <f t="shared" si="5"/>
        <v>Omset lainnya</v>
      </c>
    </row>
    <row r="380" spans="2:47" ht="23.1" customHeight="1">
      <c r="B380" s="9">
        <v>46252</v>
      </c>
      <c r="D380" t="s">
        <v>1011</v>
      </c>
      <c r="F380" t="s">
        <v>1012</v>
      </c>
      <c r="H380" s="9">
        <v>46252</v>
      </c>
      <c r="J380" t="s">
        <v>27</v>
      </c>
      <c r="L380" t="s">
        <v>1013</v>
      </c>
      <c r="N380" t="s">
        <v>1014</v>
      </c>
      <c r="P380" t="s">
        <v>64</v>
      </c>
      <c r="R380" t="s">
        <v>31</v>
      </c>
      <c r="T380" t="s">
        <v>32</v>
      </c>
      <c r="V380" t="s">
        <v>86</v>
      </c>
      <c r="X380" t="s">
        <v>86</v>
      </c>
      <c r="Z380" t="s">
        <v>64</v>
      </c>
      <c r="AB380" t="s">
        <v>35</v>
      </c>
      <c r="AD380" t="s">
        <v>112</v>
      </c>
      <c r="AF380" t="s">
        <v>1015</v>
      </c>
      <c r="AH380" t="s">
        <v>38</v>
      </c>
      <c r="AJ380" t="s">
        <v>39</v>
      </c>
      <c r="AL380">
        <v>0</v>
      </c>
      <c r="AN380">
        <v>1</v>
      </c>
      <c r="AP380">
        <v>109000</v>
      </c>
      <c r="AR380">
        <v>109000</v>
      </c>
      <c r="AT380" t="s">
        <v>64</v>
      </c>
      <c r="AU380" t="str">
        <f t="shared" si="5"/>
        <v>Omset Interface</v>
      </c>
    </row>
    <row r="381" spans="2:47" ht="23.1" customHeight="1">
      <c r="B381" s="9">
        <v>46252</v>
      </c>
      <c r="D381" t="s">
        <v>1018</v>
      </c>
      <c r="F381" t="s">
        <v>1019</v>
      </c>
      <c r="H381" s="9">
        <v>46252</v>
      </c>
      <c r="J381" t="s">
        <v>27</v>
      </c>
      <c r="L381" t="s">
        <v>1020</v>
      </c>
      <c r="N381" t="s">
        <v>993</v>
      </c>
      <c r="P381" t="s">
        <v>64</v>
      </c>
      <c r="R381" t="s">
        <v>31</v>
      </c>
      <c r="T381" t="s">
        <v>94</v>
      </c>
      <c r="V381" t="s">
        <v>127</v>
      </c>
      <c r="X381" t="s">
        <v>127</v>
      </c>
      <c r="Z381" t="s">
        <v>64</v>
      </c>
      <c r="AB381" t="s">
        <v>35</v>
      </c>
      <c r="AD381" t="s">
        <v>128</v>
      </c>
      <c r="AF381" t="s">
        <v>295</v>
      </c>
      <c r="AH381" t="s">
        <v>1021</v>
      </c>
      <c r="AJ381" t="s">
        <v>1022</v>
      </c>
      <c r="AL381">
        <v>122500</v>
      </c>
      <c r="AN381">
        <v>1</v>
      </c>
      <c r="AP381">
        <v>136000</v>
      </c>
      <c r="AR381">
        <v>136000</v>
      </c>
      <c r="AT381" t="s">
        <v>64</v>
      </c>
      <c r="AU381" t="str">
        <f t="shared" si="5"/>
        <v>Omset lainnya</v>
      </c>
    </row>
    <row r="382" spans="2:47" ht="23.1" customHeight="1">
      <c r="B382" s="9">
        <v>46252</v>
      </c>
      <c r="D382" t="s">
        <v>1023</v>
      </c>
      <c r="F382" t="s">
        <v>1024</v>
      </c>
      <c r="H382" s="9">
        <v>46252</v>
      </c>
      <c r="J382" t="s">
        <v>27</v>
      </c>
      <c r="L382" t="s">
        <v>986</v>
      </c>
      <c r="N382" t="s">
        <v>987</v>
      </c>
      <c r="P382" t="s">
        <v>57</v>
      </c>
      <c r="R382" t="s">
        <v>31</v>
      </c>
      <c r="T382" t="s">
        <v>94</v>
      </c>
      <c r="V382" t="s">
        <v>33</v>
      </c>
      <c r="X382" t="s">
        <v>33</v>
      </c>
      <c r="Z382" t="s">
        <v>57</v>
      </c>
      <c r="AB382" t="s">
        <v>95</v>
      </c>
      <c r="AD382" t="s">
        <v>50</v>
      </c>
      <c r="AF382" t="s">
        <v>1025</v>
      </c>
      <c r="AH382" t="s">
        <v>1026</v>
      </c>
      <c r="AJ382" t="s">
        <v>1027</v>
      </c>
      <c r="AL382">
        <v>18000</v>
      </c>
      <c r="AN382">
        <v>1</v>
      </c>
      <c r="AP382">
        <v>20000</v>
      </c>
      <c r="AR382">
        <v>20000</v>
      </c>
      <c r="AT382" t="s">
        <v>57</v>
      </c>
      <c r="AU382" t="str">
        <f t="shared" si="5"/>
        <v>Omset lainnya</v>
      </c>
    </row>
    <row r="383" spans="2:47" ht="23.1" customHeight="1">
      <c r="B383" s="9">
        <v>46253</v>
      </c>
      <c r="D383" t="s">
        <v>1028</v>
      </c>
      <c r="F383" t="s">
        <v>1029</v>
      </c>
      <c r="H383" s="9">
        <v>46237</v>
      </c>
      <c r="J383" t="s">
        <v>27</v>
      </c>
      <c r="L383" t="s">
        <v>250</v>
      </c>
      <c r="N383" t="s">
        <v>251</v>
      </c>
      <c r="P383" t="s">
        <v>64</v>
      </c>
      <c r="R383" t="s">
        <v>31</v>
      </c>
      <c r="T383" t="s">
        <v>32</v>
      </c>
      <c r="V383" t="s">
        <v>127</v>
      </c>
      <c r="X383" t="s">
        <v>127</v>
      </c>
      <c r="Z383" t="s">
        <v>64</v>
      </c>
      <c r="AB383" t="s">
        <v>95</v>
      </c>
      <c r="AD383" t="s">
        <v>36</v>
      </c>
      <c r="AF383" t="s">
        <v>1030</v>
      </c>
      <c r="AH383" t="s">
        <v>525</v>
      </c>
      <c r="AJ383" t="s">
        <v>526</v>
      </c>
      <c r="AL383">
        <v>0</v>
      </c>
      <c r="AN383">
        <v>1</v>
      </c>
      <c r="AP383">
        <v>35000</v>
      </c>
      <c r="AR383">
        <v>35000</v>
      </c>
      <c r="AU383" t="str">
        <f t="shared" si="5"/>
        <v>Omset Normal</v>
      </c>
    </row>
    <row r="384" spans="2:47" ht="23.1" customHeight="1">
      <c r="B384" s="9">
        <v>46253</v>
      </c>
      <c r="D384" t="s">
        <v>1031</v>
      </c>
      <c r="F384" t="s">
        <v>1032</v>
      </c>
      <c r="H384" s="9">
        <v>46253</v>
      </c>
      <c r="J384" t="s">
        <v>27</v>
      </c>
      <c r="L384" t="s">
        <v>1033</v>
      </c>
      <c r="N384" t="s">
        <v>1034</v>
      </c>
      <c r="P384" t="s">
        <v>77</v>
      </c>
      <c r="R384" t="s">
        <v>31</v>
      </c>
      <c r="T384" t="s">
        <v>32</v>
      </c>
      <c r="V384" t="s">
        <v>127</v>
      </c>
      <c r="X384" t="s">
        <v>127</v>
      </c>
      <c r="Z384" t="s">
        <v>77</v>
      </c>
      <c r="AB384" t="s">
        <v>35</v>
      </c>
      <c r="AD384" t="s">
        <v>36</v>
      </c>
      <c r="AF384" t="s">
        <v>1035</v>
      </c>
      <c r="AH384" t="s">
        <v>38</v>
      </c>
      <c r="AJ384" t="s">
        <v>39</v>
      </c>
      <c r="AL384">
        <v>0</v>
      </c>
      <c r="AN384">
        <v>1</v>
      </c>
      <c r="AP384">
        <v>103000</v>
      </c>
      <c r="AR384">
        <v>103000</v>
      </c>
      <c r="AT384" t="s">
        <v>77</v>
      </c>
      <c r="AU384" t="str">
        <f t="shared" si="5"/>
        <v>Omset Interface</v>
      </c>
    </row>
    <row r="385" spans="2:47" ht="23.1" customHeight="1">
      <c r="B385" s="9">
        <v>46253</v>
      </c>
      <c r="D385" t="s">
        <v>1031</v>
      </c>
      <c r="F385" t="s">
        <v>1032</v>
      </c>
      <c r="H385" s="9">
        <v>46253</v>
      </c>
      <c r="J385" t="s">
        <v>27</v>
      </c>
      <c r="L385" t="s">
        <v>1033</v>
      </c>
      <c r="N385" t="s">
        <v>1034</v>
      </c>
      <c r="P385" t="s">
        <v>77</v>
      </c>
      <c r="R385" t="s">
        <v>31</v>
      </c>
      <c r="T385" t="s">
        <v>41</v>
      </c>
      <c r="V385" t="s">
        <v>127</v>
      </c>
      <c r="X385" t="s">
        <v>127</v>
      </c>
      <c r="Z385" t="s">
        <v>77</v>
      </c>
      <c r="AB385" t="s">
        <v>35</v>
      </c>
      <c r="AD385" t="s">
        <v>36</v>
      </c>
      <c r="AF385" t="s">
        <v>1035</v>
      </c>
      <c r="AH385" t="s">
        <v>42</v>
      </c>
      <c r="AJ385" t="s">
        <v>43</v>
      </c>
      <c r="AL385">
        <v>17450</v>
      </c>
      <c r="AN385">
        <v>1</v>
      </c>
      <c r="AP385">
        <v>20000</v>
      </c>
      <c r="AR385">
        <v>20000</v>
      </c>
      <c r="AT385" t="s">
        <v>77</v>
      </c>
      <c r="AU385" t="str">
        <f t="shared" si="5"/>
        <v>Omset lainnya</v>
      </c>
    </row>
    <row r="386" spans="2:47" ht="23.1" customHeight="1">
      <c r="B386" s="9">
        <v>46253</v>
      </c>
      <c r="D386" t="s">
        <v>1036</v>
      </c>
      <c r="F386" t="s">
        <v>1037</v>
      </c>
      <c r="H386" s="9">
        <v>46250</v>
      </c>
      <c r="J386" t="s">
        <v>27</v>
      </c>
      <c r="L386" t="s">
        <v>139</v>
      </c>
      <c r="N386" t="s">
        <v>140</v>
      </c>
      <c r="P386" t="s">
        <v>64</v>
      </c>
      <c r="R386" t="s">
        <v>31</v>
      </c>
      <c r="T386" t="s">
        <v>32</v>
      </c>
      <c r="V386" t="s">
        <v>86</v>
      </c>
      <c r="X386" t="s">
        <v>86</v>
      </c>
      <c r="Z386" t="s">
        <v>77</v>
      </c>
      <c r="AB386" t="s">
        <v>692</v>
      </c>
      <c r="AD386" t="s">
        <v>87</v>
      </c>
      <c r="AF386" t="s">
        <v>610</v>
      </c>
      <c r="AH386" t="s">
        <v>1038</v>
      </c>
      <c r="AJ386" t="s">
        <v>1039</v>
      </c>
      <c r="AL386">
        <v>0</v>
      </c>
      <c r="AN386">
        <v>1</v>
      </c>
      <c r="AP386">
        <v>14000</v>
      </c>
      <c r="AR386">
        <v>14000</v>
      </c>
      <c r="AU386" t="str">
        <f t="shared" ref="AU386:AU449" si="6">_xlfn.IFS(ISNUMBER(SEARCH("Interface", AJ386)), "Omset Interface", ISNUMBER(SEARCH("Normal", AJ386)), "Omset Normal", ISNUMBER(SEARCH("Mati Total", AJ386)), "Omset Mati Total", ISNUMBER(SEARCH("Promo", AJ386)), "Omset Promo", TRUE, "Omset lainnya")</f>
        <v>Omset Normal</v>
      </c>
    </row>
    <row r="387" spans="2:47" ht="14.1" customHeight="1">
      <c r="B387" s="9">
        <v>46253</v>
      </c>
      <c r="D387" t="s">
        <v>1036</v>
      </c>
      <c r="F387" t="s">
        <v>1037</v>
      </c>
      <c r="H387" s="9">
        <v>46250</v>
      </c>
      <c r="J387" t="s">
        <v>27</v>
      </c>
      <c r="L387" t="s">
        <v>139</v>
      </c>
      <c r="N387" t="s">
        <v>140</v>
      </c>
      <c r="P387" t="s">
        <v>64</v>
      </c>
      <c r="R387" t="s">
        <v>31</v>
      </c>
      <c r="T387" t="s">
        <v>32</v>
      </c>
      <c r="V387" t="s">
        <v>86</v>
      </c>
      <c r="X387" t="s">
        <v>86</v>
      </c>
      <c r="Z387" t="s">
        <v>77</v>
      </c>
      <c r="AB387" t="s">
        <v>692</v>
      </c>
      <c r="AD387" t="s">
        <v>87</v>
      </c>
      <c r="AF387" t="s">
        <v>610</v>
      </c>
      <c r="AH387" t="s">
        <v>1040</v>
      </c>
      <c r="AJ387" t="s">
        <v>1041</v>
      </c>
      <c r="AL387">
        <v>0</v>
      </c>
      <c r="AN387">
        <v>1</v>
      </c>
      <c r="AP387">
        <v>14000</v>
      </c>
      <c r="AR387">
        <v>14000</v>
      </c>
      <c r="AU387" t="str">
        <f t="shared" si="6"/>
        <v>Omset Normal</v>
      </c>
    </row>
    <row r="388" spans="2:47" ht="23.1" customHeight="1">
      <c r="B388" s="9">
        <v>46247</v>
      </c>
      <c r="D388" t="s">
        <v>928</v>
      </c>
      <c r="F388" t="s">
        <v>929</v>
      </c>
      <c r="H388" s="9">
        <v>46247</v>
      </c>
      <c r="J388" t="s">
        <v>27</v>
      </c>
      <c r="L388" t="s">
        <v>930</v>
      </c>
      <c r="N388" t="s">
        <v>651</v>
      </c>
      <c r="P388" t="s">
        <v>77</v>
      </c>
      <c r="R388" t="s">
        <v>31</v>
      </c>
      <c r="T388" t="s">
        <v>94</v>
      </c>
      <c r="V388" t="s">
        <v>127</v>
      </c>
      <c r="X388" t="s">
        <v>127</v>
      </c>
      <c r="Z388" t="s">
        <v>77</v>
      </c>
      <c r="AB388" t="s">
        <v>95</v>
      </c>
      <c r="AD388" t="s">
        <v>128</v>
      </c>
      <c r="AF388" t="s">
        <v>931</v>
      </c>
      <c r="AH388" t="s">
        <v>1042</v>
      </c>
      <c r="AJ388" t="s">
        <v>1043</v>
      </c>
      <c r="AL388">
        <v>10000</v>
      </c>
      <c r="AN388">
        <v>1</v>
      </c>
      <c r="AP388">
        <v>20000</v>
      </c>
      <c r="AR388">
        <v>20000</v>
      </c>
      <c r="AU388" t="str">
        <f t="shared" si="6"/>
        <v>Omset lainnya</v>
      </c>
    </row>
    <row r="389" spans="2:47" ht="23.1" customHeight="1">
      <c r="B389" s="9">
        <v>46247</v>
      </c>
      <c r="D389" t="s">
        <v>928</v>
      </c>
      <c r="F389" t="s">
        <v>929</v>
      </c>
      <c r="H389" s="9">
        <v>46247</v>
      </c>
      <c r="J389" t="s">
        <v>27</v>
      </c>
      <c r="L389" t="s">
        <v>930</v>
      </c>
      <c r="N389" t="s">
        <v>651</v>
      </c>
      <c r="P389" t="s">
        <v>77</v>
      </c>
      <c r="R389" t="s">
        <v>31</v>
      </c>
      <c r="T389" t="s">
        <v>94</v>
      </c>
      <c r="V389" t="s">
        <v>127</v>
      </c>
      <c r="X389" t="s">
        <v>127</v>
      </c>
      <c r="Z389" t="s">
        <v>77</v>
      </c>
      <c r="AB389" t="s">
        <v>95</v>
      </c>
      <c r="AD389" t="s">
        <v>128</v>
      </c>
      <c r="AF389" t="s">
        <v>931</v>
      </c>
      <c r="AH389" t="s">
        <v>400</v>
      </c>
      <c r="AJ389" t="s">
        <v>401</v>
      </c>
      <c r="AL389">
        <v>120000</v>
      </c>
      <c r="AN389">
        <v>1</v>
      </c>
      <c r="AP389">
        <v>132000</v>
      </c>
      <c r="AR389">
        <v>132000</v>
      </c>
      <c r="AU389" t="str">
        <f t="shared" si="6"/>
        <v>Omset lainnya</v>
      </c>
    </row>
    <row r="390" spans="2:47" ht="23.1" customHeight="1">
      <c r="B390" s="9">
        <v>46248</v>
      </c>
      <c r="D390" t="s">
        <v>862</v>
      </c>
      <c r="F390" t="s">
        <v>863</v>
      </c>
      <c r="H390" s="9">
        <v>46243</v>
      </c>
      <c r="J390" t="s">
        <v>27</v>
      </c>
      <c r="L390" t="s">
        <v>864</v>
      </c>
      <c r="N390" t="s">
        <v>865</v>
      </c>
      <c r="P390" t="s">
        <v>64</v>
      </c>
      <c r="R390" t="s">
        <v>173</v>
      </c>
      <c r="T390" t="s">
        <v>32</v>
      </c>
      <c r="V390" t="s">
        <v>33</v>
      </c>
      <c r="X390" t="s">
        <v>33</v>
      </c>
      <c r="Z390" t="s">
        <v>64</v>
      </c>
      <c r="AB390" t="s">
        <v>35</v>
      </c>
      <c r="AD390" t="s">
        <v>87</v>
      </c>
      <c r="AF390" t="s">
        <v>866</v>
      </c>
      <c r="AH390" t="s">
        <v>1044</v>
      </c>
      <c r="AJ390" t="s">
        <v>1045</v>
      </c>
      <c r="AL390">
        <v>0</v>
      </c>
      <c r="AN390">
        <v>1</v>
      </c>
      <c r="AP390">
        <v>1780000</v>
      </c>
      <c r="AR390">
        <v>1780000</v>
      </c>
      <c r="AT390" t="s">
        <v>64</v>
      </c>
      <c r="AU390" t="str">
        <f t="shared" si="6"/>
        <v>Omset Interface</v>
      </c>
    </row>
    <row r="391" spans="2:47" ht="23.1" customHeight="1">
      <c r="B391" s="9">
        <v>46248</v>
      </c>
      <c r="D391" t="s">
        <v>862</v>
      </c>
      <c r="F391" t="s">
        <v>863</v>
      </c>
      <c r="H391" s="9">
        <v>46243</v>
      </c>
      <c r="J391" t="s">
        <v>27</v>
      </c>
      <c r="L391" t="s">
        <v>864</v>
      </c>
      <c r="N391" t="s">
        <v>865</v>
      </c>
      <c r="P391" t="s">
        <v>64</v>
      </c>
      <c r="R391" t="s">
        <v>173</v>
      </c>
      <c r="T391" t="s">
        <v>41</v>
      </c>
      <c r="V391" t="s">
        <v>33</v>
      </c>
      <c r="X391" t="s">
        <v>33</v>
      </c>
      <c r="Z391" t="s">
        <v>64</v>
      </c>
      <c r="AB391" t="s">
        <v>35</v>
      </c>
      <c r="AD391" t="s">
        <v>87</v>
      </c>
      <c r="AF391" t="s">
        <v>866</v>
      </c>
      <c r="AH391" t="s">
        <v>296</v>
      </c>
      <c r="AJ391" t="s">
        <v>297</v>
      </c>
      <c r="AL391">
        <v>19300</v>
      </c>
      <c r="AN391">
        <v>1</v>
      </c>
      <c r="AP391">
        <v>20000</v>
      </c>
      <c r="AR391">
        <v>20000</v>
      </c>
      <c r="AT391" t="s">
        <v>64</v>
      </c>
      <c r="AU391" t="str">
        <f t="shared" si="6"/>
        <v>Omset lainnya</v>
      </c>
    </row>
    <row r="392" spans="2:47" ht="23.1" customHeight="1">
      <c r="B392" s="9">
        <v>46253</v>
      </c>
      <c r="D392" t="s">
        <v>719</v>
      </c>
      <c r="F392" t="s">
        <v>720</v>
      </c>
      <c r="H392" s="9">
        <v>46244</v>
      </c>
      <c r="J392" t="s">
        <v>27</v>
      </c>
      <c r="L392" t="s">
        <v>721</v>
      </c>
      <c r="N392" t="s">
        <v>722</v>
      </c>
      <c r="P392" t="s">
        <v>57</v>
      </c>
      <c r="R392" t="s">
        <v>31</v>
      </c>
      <c r="T392" t="s">
        <v>94</v>
      </c>
      <c r="V392" t="s">
        <v>86</v>
      </c>
      <c r="X392" t="s">
        <v>86</v>
      </c>
      <c r="Z392" t="s">
        <v>57</v>
      </c>
      <c r="AB392" t="s">
        <v>95</v>
      </c>
      <c r="AD392" t="s">
        <v>65</v>
      </c>
      <c r="AF392" t="s">
        <v>723</v>
      </c>
      <c r="AH392" t="s">
        <v>1046</v>
      </c>
      <c r="AJ392" t="s">
        <v>1047</v>
      </c>
      <c r="AL392">
        <v>21500</v>
      </c>
      <c r="AN392">
        <v>1</v>
      </c>
      <c r="AP392">
        <v>30000</v>
      </c>
      <c r="AR392">
        <v>30000</v>
      </c>
      <c r="AU392" t="str">
        <f t="shared" si="6"/>
        <v>Omset lainnya</v>
      </c>
    </row>
    <row r="393" spans="2:47" ht="23.1" customHeight="1">
      <c r="B393" s="9">
        <v>46248</v>
      </c>
      <c r="D393" t="s">
        <v>1048</v>
      </c>
      <c r="F393" t="s">
        <v>1049</v>
      </c>
      <c r="H393" s="9">
        <v>46248</v>
      </c>
      <c r="J393" t="s">
        <v>54</v>
      </c>
      <c r="L393" t="s">
        <v>1050</v>
      </c>
      <c r="N393" t="s">
        <v>1051</v>
      </c>
      <c r="P393" t="s">
        <v>77</v>
      </c>
      <c r="R393" t="s">
        <v>31</v>
      </c>
      <c r="T393" t="s">
        <v>94</v>
      </c>
      <c r="V393" t="s">
        <v>86</v>
      </c>
      <c r="X393" t="s">
        <v>86</v>
      </c>
      <c r="Z393" t="s">
        <v>64</v>
      </c>
      <c r="AB393" t="s">
        <v>95</v>
      </c>
      <c r="AD393" t="s">
        <v>50</v>
      </c>
      <c r="AF393" t="s">
        <v>1052</v>
      </c>
      <c r="AH393" t="s">
        <v>1053</v>
      </c>
      <c r="AJ393" t="s">
        <v>1054</v>
      </c>
      <c r="AL393">
        <v>89500</v>
      </c>
      <c r="AN393">
        <v>1</v>
      </c>
      <c r="AP393">
        <v>70000</v>
      </c>
      <c r="AR393">
        <v>70000</v>
      </c>
      <c r="AT393" t="s">
        <v>64</v>
      </c>
      <c r="AU393" t="str">
        <f t="shared" si="6"/>
        <v>Omset lainnya</v>
      </c>
    </row>
    <row r="394" spans="2:47" ht="23.1" customHeight="1">
      <c r="B394" s="9">
        <v>46248</v>
      </c>
      <c r="D394" t="s">
        <v>1048</v>
      </c>
      <c r="F394" t="s">
        <v>1049</v>
      </c>
      <c r="H394" s="9">
        <v>46248</v>
      </c>
      <c r="J394" t="s">
        <v>54</v>
      </c>
      <c r="L394" t="s">
        <v>1050</v>
      </c>
      <c r="N394" t="s">
        <v>1051</v>
      </c>
      <c r="P394" t="s">
        <v>77</v>
      </c>
      <c r="R394" t="s">
        <v>31</v>
      </c>
      <c r="T394" t="s">
        <v>94</v>
      </c>
      <c r="V394" t="s">
        <v>86</v>
      </c>
      <c r="X394" t="s">
        <v>86</v>
      </c>
      <c r="Z394" t="s">
        <v>64</v>
      </c>
      <c r="AB394" t="s">
        <v>95</v>
      </c>
      <c r="AD394" t="s">
        <v>50</v>
      </c>
      <c r="AF394" t="s">
        <v>1052</v>
      </c>
      <c r="AH394" t="s">
        <v>1055</v>
      </c>
      <c r="AJ394" t="s">
        <v>1056</v>
      </c>
      <c r="AL394">
        <v>21500</v>
      </c>
      <c r="AN394">
        <v>1</v>
      </c>
      <c r="AP394">
        <v>25000</v>
      </c>
      <c r="AR394">
        <v>25000</v>
      </c>
      <c r="AT394" t="s">
        <v>64</v>
      </c>
      <c r="AU394" t="str">
        <f t="shared" si="6"/>
        <v>Omset lainnya</v>
      </c>
    </row>
    <row r="395" spans="2:47" ht="23.1" customHeight="1">
      <c r="B395" s="9">
        <v>46248</v>
      </c>
      <c r="D395" t="s">
        <v>1048</v>
      </c>
      <c r="F395" t="s">
        <v>1049</v>
      </c>
      <c r="H395" s="9">
        <v>46248</v>
      </c>
      <c r="J395" t="s">
        <v>54</v>
      </c>
      <c r="L395" t="s">
        <v>1050</v>
      </c>
      <c r="N395" t="s">
        <v>1051</v>
      </c>
      <c r="P395" t="s">
        <v>77</v>
      </c>
      <c r="R395" t="s">
        <v>31</v>
      </c>
      <c r="T395" t="s">
        <v>94</v>
      </c>
      <c r="V395" t="s">
        <v>86</v>
      </c>
      <c r="X395" t="s">
        <v>86</v>
      </c>
      <c r="Z395" t="s">
        <v>64</v>
      </c>
      <c r="AB395" t="s">
        <v>95</v>
      </c>
      <c r="AD395" t="s">
        <v>50</v>
      </c>
      <c r="AF395" t="s">
        <v>1052</v>
      </c>
      <c r="AH395" t="s">
        <v>1057</v>
      </c>
      <c r="AJ395" t="s">
        <v>1058</v>
      </c>
      <c r="AL395">
        <v>96500</v>
      </c>
      <c r="AN395">
        <v>1</v>
      </c>
      <c r="AP395">
        <v>100000</v>
      </c>
      <c r="AR395">
        <v>100000</v>
      </c>
      <c r="AT395" t="s">
        <v>64</v>
      </c>
      <c r="AU395" t="str">
        <f t="shared" si="6"/>
        <v>Omset lainnya</v>
      </c>
    </row>
    <row r="396" spans="2:47" ht="23.1" customHeight="1">
      <c r="B396" s="9">
        <v>46248</v>
      </c>
      <c r="D396" t="s">
        <v>1048</v>
      </c>
      <c r="F396" t="s">
        <v>1049</v>
      </c>
      <c r="H396" s="9">
        <v>46248</v>
      </c>
      <c r="J396" t="s">
        <v>54</v>
      </c>
      <c r="L396" t="s">
        <v>1050</v>
      </c>
      <c r="N396" t="s">
        <v>1051</v>
      </c>
      <c r="P396" t="s">
        <v>77</v>
      </c>
      <c r="R396" t="s">
        <v>31</v>
      </c>
      <c r="T396" t="s">
        <v>94</v>
      </c>
      <c r="V396" t="s">
        <v>86</v>
      </c>
      <c r="X396" t="s">
        <v>86</v>
      </c>
      <c r="Z396" t="s">
        <v>64</v>
      </c>
      <c r="AB396" t="s">
        <v>95</v>
      </c>
      <c r="AD396" t="s">
        <v>50</v>
      </c>
      <c r="AF396" t="s">
        <v>1052</v>
      </c>
      <c r="AH396" t="s">
        <v>1059</v>
      </c>
      <c r="AJ396" t="s">
        <v>1060</v>
      </c>
      <c r="AL396">
        <v>10500</v>
      </c>
      <c r="AN396">
        <v>1</v>
      </c>
      <c r="AP396">
        <v>15000</v>
      </c>
      <c r="AR396">
        <v>15000</v>
      </c>
      <c r="AT396" t="s">
        <v>64</v>
      </c>
      <c r="AU396" t="str">
        <f t="shared" si="6"/>
        <v>Omset lainnya</v>
      </c>
    </row>
    <row r="397" spans="2:47" ht="23.1" customHeight="1">
      <c r="B397" s="9">
        <v>46248</v>
      </c>
      <c r="D397" t="s">
        <v>1048</v>
      </c>
      <c r="F397" t="s">
        <v>1049</v>
      </c>
      <c r="H397" s="9">
        <v>46248</v>
      </c>
      <c r="J397" t="s">
        <v>54</v>
      </c>
      <c r="L397" t="s">
        <v>1050</v>
      </c>
      <c r="N397" t="s">
        <v>1051</v>
      </c>
      <c r="P397" t="s">
        <v>77</v>
      </c>
      <c r="R397" t="s">
        <v>31</v>
      </c>
      <c r="T397" t="s">
        <v>94</v>
      </c>
      <c r="V397" t="s">
        <v>86</v>
      </c>
      <c r="X397" t="s">
        <v>86</v>
      </c>
      <c r="Z397" t="s">
        <v>64</v>
      </c>
      <c r="AB397" t="s">
        <v>95</v>
      </c>
      <c r="AD397" t="s">
        <v>50</v>
      </c>
      <c r="AF397" t="s">
        <v>1052</v>
      </c>
      <c r="AH397" t="s">
        <v>1061</v>
      </c>
      <c r="AJ397" t="s">
        <v>1062</v>
      </c>
      <c r="AL397">
        <v>9500</v>
      </c>
      <c r="AN397">
        <v>1</v>
      </c>
      <c r="AP397">
        <v>15000</v>
      </c>
      <c r="AR397">
        <v>15000</v>
      </c>
      <c r="AT397" t="s">
        <v>64</v>
      </c>
      <c r="AU397" t="str">
        <f t="shared" si="6"/>
        <v>Omset lainnya</v>
      </c>
    </row>
    <row r="398" spans="2:47" ht="23.1" customHeight="1">
      <c r="B398" s="9">
        <v>46249</v>
      </c>
      <c r="D398" t="s">
        <v>1063</v>
      </c>
      <c r="F398" t="s">
        <v>1064</v>
      </c>
      <c r="H398" s="9">
        <v>46249</v>
      </c>
      <c r="J398" t="s">
        <v>27</v>
      </c>
      <c r="L398" t="s">
        <v>881</v>
      </c>
      <c r="N398" t="s">
        <v>882</v>
      </c>
      <c r="P398" t="s">
        <v>77</v>
      </c>
      <c r="R398" t="s">
        <v>31</v>
      </c>
      <c r="T398" t="s">
        <v>32</v>
      </c>
      <c r="V398" t="s">
        <v>86</v>
      </c>
      <c r="X398" t="s">
        <v>86</v>
      </c>
      <c r="Z398" t="s">
        <v>77</v>
      </c>
      <c r="AB398" t="s">
        <v>268</v>
      </c>
      <c r="AD398" t="s">
        <v>36</v>
      </c>
      <c r="AF398" t="s">
        <v>1065</v>
      </c>
      <c r="AH398" t="s">
        <v>270</v>
      </c>
      <c r="AJ398" t="s">
        <v>271</v>
      </c>
      <c r="AL398">
        <v>0</v>
      </c>
      <c r="AN398">
        <v>1</v>
      </c>
      <c r="AP398">
        <v>59000</v>
      </c>
      <c r="AR398">
        <v>59000</v>
      </c>
      <c r="AT398" t="s">
        <v>57</v>
      </c>
      <c r="AU398" t="str">
        <f t="shared" si="6"/>
        <v>Omset Interface</v>
      </c>
    </row>
    <row r="399" spans="2:47" ht="23.1" customHeight="1">
      <c r="B399" s="9">
        <v>46249</v>
      </c>
      <c r="D399" t="s">
        <v>1063</v>
      </c>
      <c r="F399" t="s">
        <v>1064</v>
      </c>
      <c r="H399" s="9">
        <v>46249</v>
      </c>
      <c r="J399" t="s">
        <v>27</v>
      </c>
      <c r="L399" t="s">
        <v>881</v>
      </c>
      <c r="N399" t="s">
        <v>882</v>
      </c>
      <c r="P399" t="s">
        <v>77</v>
      </c>
      <c r="R399" t="s">
        <v>31</v>
      </c>
      <c r="T399" t="s">
        <v>41</v>
      </c>
      <c r="V399" t="s">
        <v>86</v>
      </c>
      <c r="X399" t="s">
        <v>86</v>
      </c>
      <c r="Z399" t="s">
        <v>77</v>
      </c>
      <c r="AB399" t="s">
        <v>268</v>
      </c>
      <c r="AD399" t="s">
        <v>36</v>
      </c>
      <c r="AF399" t="s">
        <v>1065</v>
      </c>
      <c r="AH399" t="s">
        <v>42</v>
      </c>
      <c r="AJ399" t="s">
        <v>43</v>
      </c>
      <c r="AL399">
        <v>17450</v>
      </c>
      <c r="AN399">
        <v>1</v>
      </c>
      <c r="AP399">
        <v>20000</v>
      </c>
      <c r="AR399">
        <v>20000</v>
      </c>
      <c r="AT399" t="s">
        <v>57</v>
      </c>
      <c r="AU399" t="str">
        <f t="shared" si="6"/>
        <v>Omset lainnya</v>
      </c>
    </row>
    <row r="400" spans="2:47" ht="23.1" customHeight="1">
      <c r="B400" s="9">
        <v>46249</v>
      </c>
      <c r="D400" t="s">
        <v>1066</v>
      </c>
      <c r="F400" t="s">
        <v>1067</v>
      </c>
      <c r="H400" s="9">
        <v>46249</v>
      </c>
      <c r="J400" t="s">
        <v>27</v>
      </c>
      <c r="L400" t="s">
        <v>951</v>
      </c>
      <c r="N400" t="s">
        <v>952</v>
      </c>
      <c r="P400" t="s">
        <v>64</v>
      </c>
      <c r="R400" t="s">
        <v>177</v>
      </c>
      <c r="T400" t="s">
        <v>41</v>
      </c>
      <c r="Z400" t="s">
        <v>64</v>
      </c>
      <c r="AB400" t="s">
        <v>178</v>
      </c>
      <c r="AD400" t="s">
        <v>78</v>
      </c>
      <c r="AF400" t="s">
        <v>1068</v>
      </c>
      <c r="AH400" t="s">
        <v>1069</v>
      </c>
      <c r="AJ400" t="s">
        <v>1070</v>
      </c>
      <c r="AL400">
        <v>11000</v>
      </c>
      <c r="AN400">
        <v>1</v>
      </c>
      <c r="AP400">
        <v>28000</v>
      </c>
      <c r="AR400">
        <v>28000</v>
      </c>
      <c r="AT400" t="s">
        <v>64</v>
      </c>
      <c r="AU400" t="str">
        <f t="shared" si="6"/>
        <v>Omset lainnya</v>
      </c>
    </row>
    <row r="401" spans="2:47" ht="23.1" customHeight="1">
      <c r="B401" s="9">
        <v>46249</v>
      </c>
      <c r="D401" t="s">
        <v>1066</v>
      </c>
      <c r="F401" t="s">
        <v>1067</v>
      </c>
      <c r="H401" s="9">
        <v>46249</v>
      </c>
      <c r="J401" t="s">
        <v>27</v>
      </c>
      <c r="L401" t="s">
        <v>951</v>
      </c>
      <c r="N401" t="s">
        <v>952</v>
      </c>
      <c r="P401" t="s">
        <v>64</v>
      </c>
      <c r="R401" t="s">
        <v>177</v>
      </c>
      <c r="T401" t="s">
        <v>41</v>
      </c>
      <c r="Z401" t="s">
        <v>64</v>
      </c>
      <c r="AB401" t="s">
        <v>178</v>
      </c>
      <c r="AD401" t="s">
        <v>78</v>
      </c>
      <c r="AF401" t="s">
        <v>1068</v>
      </c>
      <c r="AH401" t="s">
        <v>634</v>
      </c>
      <c r="AJ401" t="s">
        <v>635</v>
      </c>
      <c r="AL401">
        <v>19500</v>
      </c>
      <c r="AN401">
        <v>1</v>
      </c>
      <c r="AP401">
        <v>19500</v>
      </c>
      <c r="AR401">
        <v>19500</v>
      </c>
      <c r="AT401" t="s">
        <v>64</v>
      </c>
      <c r="AU401" t="str">
        <f t="shared" si="6"/>
        <v>Omset lainnya</v>
      </c>
    </row>
    <row r="402" spans="2:47" ht="23.1" customHeight="1">
      <c r="B402" s="9">
        <v>46234</v>
      </c>
      <c r="D402" t="s">
        <v>263</v>
      </c>
      <c r="F402" t="s">
        <v>264</v>
      </c>
      <c r="H402" s="9">
        <v>46234</v>
      </c>
      <c r="J402" t="s">
        <v>54</v>
      </c>
      <c r="L402" t="s">
        <v>171</v>
      </c>
      <c r="N402" t="s">
        <v>172</v>
      </c>
      <c r="P402" t="s">
        <v>93</v>
      </c>
      <c r="R402" t="s">
        <v>31</v>
      </c>
      <c r="T402" t="s">
        <v>94</v>
      </c>
      <c r="V402" t="s">
        <v>86</v>
      </c>
      <c r="X402" t="s">
        <v>86</v>
      </c>
      <c r="Z402" t="s">
        <v>57</v>
      </c>
      <c r="AB402" t="s">
        <v>35</v>
      </c>
      <c r="AD402" t="s">
        <v>112</v>
      </c>
      <c r="AF402" t="s">
        <v>265</v>
      </c>
      <c r="AH402" t="s">
        <v>1071</v>
      </c>
      <c r="AJ402" t="s">
        <v>1072</v>
      </c>
      <c r="AL402">
        <v>8000</v>
      </c>
      <c r="AN402">
        <v>1</v>
      </c>
      <c r="AP402">
        <v>10000</v>
      </c>
      <c r="AR402">
        <v>10000</v>
      </c>
      <c r="AU402" t="str">
        <f t="shared" si="6"/>
        <v>Omset lainnya</v>
      </c>
    </row>
    <row r="403" spans="2:47" ht="23.1" customHeight="1">
      <c r="B403" s="9">
        <v>46242</v>
      </c>
      <c r="D403" t="s">
        <v>456</v>
      </c>
      <c r="F403" t="s">
        <v>457</v>
      </c>
      <c r="H403" s="9">
        <v>46237</v>
      </c>
      <c r="J403" t="s">
        <v>27</v>
      </c>
      <c r="L403" t="s">
        <v>458</v>
      </c>
      <c r="N403" t="s">
        <v>459</v>
      </c>
      <c r="P403" t="s">
        <v>57</v>
      </c>
      <c r="R403" t="s">
        <v>31</v>
      </c>
      <c r="T403" t="s">
        <v>94</v>
      </c>
      <c r="V403" t="s">
        <v>33</v>
      </c>
      <c r="X403" t="s">
        <v>33</v>
      </c>
      <c r="Z403" t="s">
        <v>57</v>
      </c>
      <c r="AB403" t="s">
        <v>95</v>
      </c>
      <c r="AD403" t="s">
        <v>87</v>
      </c>
      <c r="AF403" t="s">
        <v>460</v>
      </c>
      <c r="AH403" t="s">
        <v>1073</v>
      </c>
      <c r="AJ403" t="s">
        <v>1074</v>
      </c>
      <c r="AL403">
        <v>25000</v>
      </c>
      <c r="AN403">
        <v>1</v>
      </c>
      <c r="AP403">
        <v>50000</v>
      </c>
      <c r="AR403">
        <v>50000</v>
      </c>
      <c r="AU403" t="str">
        <f t="shared" si="6"/>
        <v>Omset lainnya</v>
      </c>
    </row>
    <row r="404" spans="2:47" ht="23.1" customHeight="1">
      <c r="B404" s="9">
        <v>46236</v>
      </c>
      <c r="D404" t="s">
        <v>298</v>
      </c>
      <c r="F404" t="s">
        <v>299</v>
      </c>
      <c r="H404" s="9">
        <v>46236</v>
      </c>
      <c r="J404" t="s">
        <v>54</v>
      </c>
      <c r="L404" t="s">
        <v>300</v>
      </c>
      <c r="N404" t="s">
        <v>301</v>
      </c>
      <c r="P404" t="s">
        <v>57</v>
      </c>
      <c r="R404" t="s">
        <v>31</v>
      </c>
      <c r="T404" t="s">
        <v>94</v>
      </c>
      <c r="V404" t="s">
        <v>86</v>
      </c>
      <c r="X404" t="s">
        <v>86</v>
      </c>
      <c r="Z404" t="s">
        <v>57</v>
      </c>
      <c r="AB404" t="s">
        <v>35</v>
      </c>
      <c r="AD404" t="s">
        <v>36</v>
      </c>
      <c r="AF404" t="s">
        <v>302</v>
      </c>
      <c r="AH404" t="s">
        <v>1075</v>
      </c>
      <c r="AJ404" t="s">
        <v>1076</v>
      </c>
      <c r="AL404">
        <v>71000</v>
      </c>
      <c r="AN404">
        <v>1</v>
      </c>
      <c r="AP404">
        <v>80000</v>
      </c>
      <c r="AR404">
        <v>80000</v>
      </c>
      <c r="AU404" t="str">
        <f t="shared" si="6"/>
        <v>Omset lainnya</v>
      </c>
    </row>
    <row r="405" spans="2:47" ht="23.1" customHeight="1">
      <c r="B405" s="9">
        <v>46242</v>
      </c>
      <c r="D405" t="s">
        <v>456</v>
      </c>
      <c r="F405" t="s">
        <v>457</v>
      </c>
      <c r="H405" s="9">
        <v>46237</v>
      </c>
      <c r="J405" t="s">
        <v>27</v>
      </c>
      <c r="L405" t="s">
        <v>458</v>
      </c>
      <c r="N405" t="s">
        <v>459</v>
      </c>
      <c r="P405" t="s">
        <v>57</v>
      </c>
      <c r="R405" t="s">
        <v>31</v>
      </c>
      <c r="T405" t="s">
        <v>94</v>
      </c>
      <c r="V405" t="s">
        <v>33</v>
      </c>
      <c r="X405" t="s">
        <v>33</v>
      </c>
      <c r="Z405" t="s">
        <v>57</v>
      </c>
      <c r="AB405" t="s">
        <v>95</v>
      </c>
      <c r="AD405" t="s">
        <v>87</v>
      </c>
      <c r="AF405" t="s">
        <v>460</v>
      </c>
      <c r="AH405" t="s">
        <v>1077</v>
      </c>
      <c r="AJ405" t="s">
        <v>1078</v>
      </c>
      <c r="AL405">
        <v>27049</v>
      </c>
      <c r="AN405">
        <v>1</v>
      </c>
      <c r="AP405">
        <v>40000</v>
      </c>
      <c r="AR405">
        <v>40000</v>
      </c>
      <c r="AU405" t="str">
        <f t="shared" si="6"/>
        <v>Omset lainnya</v>
      </c>
    </row>
    <row r="406" spans="2:47" ht="23.1" customHeight="1">
      <c r="B406" s="9">
        <v>46250</v>
      </c>
      <c r="D406" t="s">
        <v>1079</v>
      </c>
      <c r="F406" t="s">
        <v>1080</v>
      </c>
      <c r="H406" s="9">
        <v>46250</v>
      </c>
      <c r="J406" t="s">
        <v>54</v>
      </c>
      <c r="L406" t="s">
        <v>632</v>
      </c>
      <c r="N406" t="s">
        <v>466</v>
      </c>
      <c r="P406" t="s">
        <v>57</v>
      </c>
      <c r="R406" t="s">
        <v>31</v>
      </c>
      <c r="T406" t="s">
        <v>32</v>
      </c>
      <c r="V406" t="s">
        <v>86</v>
      </c>
      <c r="X406" t="s">
        <v>86</v>
      </c>
      <c r="Z406" t="s">
        <v>57</v>
      </c>
      <c r="AB406" t="s">
        <v>95</v>
      </c>
      <c r="AD406" t="s">
        <v>50</v>
      </c>
      <c r="AF406" t="s">
        <v>655</v>
      </c>
      <c r="AH406" t="s">
        <v>38</v>
      </c>
      <c r="AJ406" t="s">
        <v>39</v>
      </c>
      <c r="AL406">
        <v>0</v>
      </c>
      <c r="AN406">
        <v>1</v>
      </c>
      <c r="AP406">
        <v>50000</v>
      </c>
      <c r="AR406">
        <v>50000</v>
      </c>
      <c r="AT406" t="s">
        <v>64</v>
      </c>
      <c r="AU406" t="str">
        <f t="shared" si="6"/>
        <v>Omset Interface</v>
      </c>
    </row>
    <row r="407" spans="2:47" ht="23.1" customHeight="1">
      <c r="B407" s="9">
        <v>46250</v>
      </c>
      <c r="D407" t="s">
        <v>971</v>
      </c>
      <c r="F407" t="s">
        <v>972</v>
      </c>
      <c r="H407" s="9">
        <v>46249</v>
      </c>
      <c r="J407" t="s">
        <v>27</v>
      </c>
      <c r="L407" t="s">
        <v>973</v>
      </c>
      <c r="N407" t="s">
        <v>974</v>
      </c>
      <c r="P407" t="s">
        <v>77</v>
      </c>
      <c r="R407" t="s">
        <v>31</v>
      </c>
      <c r="T407" t="s">
        <v>94</v>
      </c>
      <c r="V407" t="s">
        <v>49</v>
      </c>
      <c r="X407" t="s">
        <v>49</v>
      </c>
      <c r="Z407" t="s">
        <v>57</v>
      </c>
      <c r="AB407" t="s">
        <v>95</v>
      </c>
      <c r="AD407" t="s">
        <v>65</v>
      </c>
      <c r="AF407" t="s">
        <v>975</v>
      </c>
      <c r="AH407" t="s">
        <v>1081</v>
      </c>
      <c r="AJ407" t="s">
        <v>1082</v>
      </c>
      <c r="AL407">
        <v>530000</v>
      </c>
      <c r="AN407">
        <v>1</v>
      </c>
      <c r="AP407">
        <v>583000</v>
      </c>
      <c r="AR407">
        <v>583000</v>
      </c>
      <c r="AU407" t="str">
        <f t="shared" si="6"/>
        <v>Omset lainnya</v>
      </c>
    </row>
    <row r="408" spans="2:47" ht="23.1" customHeight="1">
      <c r="B408" s="9">
        <v>46250</v>
      </c>
      <c r="D408" t="s">
        <v>959</v>
      </c>
      <c r="F408" t="s">
        <v>960</v>
      </c>
      <c r="H408" s="9">
        <v>46250</v>
      </c>
      <c r="J408" t="s">
        <v>54</v>
      </c>
      <c r="L408" t="s">
        <v>961</v>
      </c>
      <c r="N408" t="s">
        <v>962</v>
      </c>
      <c r="P408" t="s">
        <v>77</v>
      </c>
      <c r="R408" t="s">
        <v>31</v>
      </c>
      <c r="T408" t="s">
        <v>94</v>
      </c>
      <c r="V408" t="s">
        <v>86</v>
      </c>
      <c r="X408" t="s">
        <v>86</v>
      </c>
      <c r="Z408" t="s">
        <v>77</v>
      </c>
      <c r="AB408" t="s">
        <v>268</v>
      </c>
      <c r="AD408" t="s">
        <v>65</v>
      </c>
      <c r="AF408" t="s">
        <v>235</v>
      </c>
      <c r="AH408" t="s">
        <v>1083</v>
      </c>
      <c r="AJ408" t="s">
        <v>1084</v>
      </c>
      <c r="AL408">
        <v>123000</v>
      </c>
      <c r="AN408">
        <v>1</v>
      </c>
      <c r="AP408">
        <v>136000</v>
      </c>
      <c r="AR408">
        <v>136000</v>
      </c>
      <c r="AT408" t="s">
        <v>77</v>
      </c>
      <c r="AU408" t="str">
        <f t="shared" si="6"/>
        <v>Omset lainnya</v>
      </c>
    </row>
    <row r="409" spans="2:47" ht="23.1" customHeight="1">
      <c r="B409" s="9">
        <v>46250</v>
      </c>
      <c r="D409" t="s">
        <v>963</v>
      </c>
      <c r="F409" t="s">
        <v>964</v>
      </c>
      <c r="H409" s="9">
        <v>46250</v>
      </c>
      <c r="J409" t="s">
        <v>27</v>
      </c>
      <c r="L409" t="s">
        <v>589</v>
      </c>
      <c r="N409" t="s">
        <v>590</v>
      </c>
      <c r="P409" t="s">
        <v>64</v>
      </c>
      <c r="R409" t="s">
        <v>31</v>
      </c>
      <c r="T409" t="s">
        <v>94</v>
      </c>
      <c r="V409" t="s">
        <v>49</v>
      </c>
      <c r="X409" t="s">
        <v>49</v>
      </c>
      <c r="Z409" t="s">
        <v>64</v>
      </c>
      <c r="AB409" t="s">
        <v>965</v>
      </c>
      <c r="AD409" t="s">
        <v>65</v>
      </c>
      <c r="AF409" t="s">
        <v>591</v>
      </c>
      <c r="AH409" t="s">
        <v>1085</v>
      </c>
      <c r="AJ409" t="s">
        <v>1086</v>
      </c>
      <c r="AL409">
        <v>18000</v>
      </c>
      <c r="AN409">
        <v>1</v>
      </c>
      <c r="AP409">
        <v>20000</v>
      </c>
      <c r="AR409">
        <v>20000</v>
      </c>
      <c r="AT409" t="s">
        <v>64</v>
      </c>
      <c r="AU409" t="str">
        <f t="shared" si="6"/>
        <v>Omset lainnya</v>
      </c>
    </row>
    <row r="410" spans="2:47" ht="23.1" customHeight="1">
      <c r="B410" s="9">
        <v>46250</v>
      </c>
      <c r="D410" t="s">
        <v>966</v>
      </c>
      <c r="F410" t="s">
        <v>967</v>
      </c>
      <c r="H410" s="9">
        <v>46250</v>
      </c>
      <c r="J410" t="s">
        <v>27</v>
      </c>
      <c r="L410" t="s">
        <v>968</v>
      </c>
      <c r="N410" t="s">
        <v>969</v>
      </c>
      <c r="P410" t="s">
        <v>57</v>
      </c>
      <c r="R410" t="s">
        <v>31</v>
      </c>
      <c r="T410" t="s">
        <v>94</v>
      </c>
      <c r="V410" t="s">
        <v>49</v>
      </c>
      <c r="X410" t="s">
        <v>49</v>
      </c>
      <c r="Z410" t="s">
        <v>57</v>
      </c>
      <c r="AB410" t="s">
        <v>35</v>
      </c>
      <c r="AD410" t="s">
        <v>50</v>
      </c>
      <c r="AF410" t="s">
        <v>970</v>
      </c>
      <c r="AH410" t="s">
        <v>1087</v>
      </c>
      <c r="AJ410" t="s">
        <v>1088</v>
      </c>
      <c r="AL410">
        <v>153000</v>
      </c>
      <c r="AN410">
        <v>1</v>
      </c>
      <c r="AP410">
        <v>170000</v>
      </c>
      <c r="AR410">
        <v>170000</v>
      </c>
      <c r="AT410" t="s">
        <v>57</v>
      </c>
      <c r="AU410" t="str">
        <f t="shared" si="6"/>
        <v>Omset lainnya</v>
      </c>
    </row>
    <row r="411" spans="2:47" ht="23.1" customHeight="1">
      <c r="B411" s="9">
        <v>46250</v>
      </c>
      <c r="D411" t="s">
        <v>1089</v>
      </c>
      <c r="F411" t="s">
        <v>1090</v>
      </c>
      <c r="H411" s="9">
        <v>46250</v>
      </c>
      <c r="J411" t="s">
        <v>1091</v>
      </c>
      <c r="L411" t="s">
        <v>1092</v>
      </c>
      <c r="N411" t="s">
        <v>1093</v>
      </c>
      <c r="P411" t="s">
        <v>64</v>
      </c>
      <c r="R411" t="s">
        <v>31</v>
      </c>
      <c r="T411" t="s">
        <v>94</v>
      </c>
      <c r="V411" t="s">
        <v>86</v>
      </c>
      <c r="X411" t="s">
        <v>86</v>
      </c>
      <c r="Z411" t="s">
        <v>64</v>
      </c>
      <c r="AB411" t="s">
        <v>35</v>
      </c>
      <c r="AD411" t="s">
        <v>65</v>
      </c>
      <c r="AF411" t="s">
        <v>501</v>
      </c>
      <c r="AH411" t="s">
        <v>502</v>
      </c>
      <c r="AJ411" t="s">
        <v>503</v>
      </c>
      <c r="AL411">
        <v>122500</v>
      </c>
      <c r="AN411">
        <v>1</v>
      </c>
      <c r="AP411">
        <v>160000</v>
      </c>
      <c r="AR411">
        <v>160000</v>
      </c>
      <c r="AT411" t="s">
        <v>64</v>
      </c>
      <c r="AU411" t="str">
        <f t="shared" si="6"/>
        <v>Omset lainnya</v>
      </c>
    </row>
    <row r="412" spans="2:47" ht="23.1" customHeight="1">
      <c r="B412" s="9">
        <v>46250</v>
      </c>
      <c r="D412" t="s">
        <v>1094</v>
      </c>
      <c r="F412" t="s">
        <v>1095</v>
      </c>
      <c r="H412" s="9">
        <v>46250</v>
      </c>
      <c r="J412" t="s">
        <v>27</v>
      </c>
      <c r="L412" t="s">
        <v>941</v>
      </c>
      <c r="N412" t="s">
        <v>851</v>
      </c>
      <c r="P412" t="s">
        <v>64</v>
      </c>
      <c r="R412" t="s">
        <v>31</v>
      </c>
      <c r="T412" t="s">
        <v>94</v>
      </c>
      <c r="V412" t="s">
        <v>127</v>
      </c>
      <c r="X412" t="s">
        <v>127</v>
      </c>
      <c r="Z412" t="s">
        <v>64</v>
      </c>
      <c r="AB412" t="s">
        <v>35</v>
      </c>
      <c r="AD412" t="s">
        <v>112</v>
      </c>
      <c r="AF412" t="s">
        <v>1096</v>
      </c>
      <c r="AH412" t="s">
        <v>1097</v>
      </c>
      <c r="AJ412" t="s">
        <v>1098</v>
      </c>
      <c r="AL412">
        <v>424000</v>
      </c>
      <c r="AN412">
        <v>1</v>
      </c>
      <c r="AP412">
        <v>320000</v>
      </c>
      <c r="AR412">
        <v>320000</v>
      </c>
      <c r="AT412" t="s">
        <v>64</v>
      </c>
      <c r="AU412" t="str">
        <f t="shared" si="6"/>
        <v>Omset lainnya</v>
      </c>
    </row>
    <row r="413" spans="2:47" ht="23.1" customHeight="1">
      <c r="B413" s="9">
        <v>46251</v>
      </c>
      <c r="D413" t="s">
        <v>1099</v>
      </c>
      <c r="F413" t="s">
        <v>1100</v>
      </c>
      <c r="H413" s="9">
        <v>46249</v>
      </c>
      <c r="J413" t="s">
        <v>27</v>
      </c>
      <c r="L413" t="s">
        <v>951</v>
      </c>
      <c r="N413" t="s">
        <v>952</v>
      </c>
      <c r="P413" t="s">
        <v>64</v>
      </c>
      <c r="R413" t="s">
        <v>31</v>
      </c>
      <c r="T413" t="s">
        <v>32</v>
      </c>
      <c r="V413" t="s">
        <v>86</v>
      </c>
      <c r="X413" t="s">
        <v>49</v>
      </c>
      <c r="Z413" t="s">
        <v>77</v>
      </c>
      <c r="AB413" t="s">
        <v>186</v>
      </c>
      <c r="AD413" t="s">
        <v>65</v>
      </c>
      <c r="AF413" t="s">
        <v>1101</v>
      </c>
      <c r="AH413" t="s">
        <v>525</v>
      </c>
      <c r="AJ413" t="s">
        <v>526</v>
      </c>
      <c r="AL413">
        <v>0</v>
      </c>
      <c r="AN413">
        <v>1</v>
      </c>
      <c r="AP413">
        <v>80000</v>
      </c>
      <c r="AR413">
        <v>80000</v>
      </c>
      <c r="AT413" t="s">
        <v>64</v>
      </c>
      <c r="AU413" t="str">
        <f t="shared" si="6"/>
        <v>Omset Normal</v>
      </c>
    </row>
    <row r="414" spans="2:47" ht="23.1" customHeight="1">
      <c r="B414" s="9">
        <v>46251</v>
      </c>
      <c r="D414" t="s">
        <v>1099</v>
      </c>
      <c r="F414" t="s">
        <v>1100</v>
      </c>
      <c r="H414" s="9">
        <v>46249</v>
      </c>
      <c r="J414" t="s">
        <v>27</v>
      </c>
      <c r="L414" t="s">
        <v>951</v>
      </c>
      <c r="N414" t="s">
        <v>952</v>
      </c>
      <c r="P414" t="s">
        <v>64</v>
      </c>
      <c r="R414" t="s">
        <v>31</v>
      </c>
      <c r="T414" t="s">
        <v>41</v>
      </c>
      <c r="V414" t="s">
        <v>86</v>
      </c>
      <c r="X414" t="s">
        <v>49</v>
      </c>
      <c r="Z414" t="s">
        <v>77</v>
      </c>
      <c r="AB414" t="s">
        <v>186</v>
      </c>
      <c r="AD414" t="s">
        <v>65</v>
      </c>
      <c r="AF414" t="s">
        <v>1101</v>
      </c>
      <c r="AH414" t="s">
        <v>42</v>
      </c>
      <c r="AJ414" t="s">
        <v>43</v>
      </c>
      <c r="AL414">
        <v>17450</v>
      </c>
      <c r="AN414">
        <v>1</v>
      </c>
      <c r="AP414">
        <v>20000</v>
      </c>
      <c r="AR414">
        <v>20000</v>
      </c>
      <c r="AT414" t="s">
        <v>64</v>
      </c>
      <c r="AU414" t="str">
        <f t="shared" si="6"/>
        <v>Omset lainnya</v>
      </c>
    </row>
    <row r="415" spans="2:47" ht="23.1" customHeight="1">
      <c r="B415" s="9">
        <v>46251</v>
      </c>
      <c r="D415" t="s">
        <v>1102</v>
      </c>
      <c r="F415" t="s">
        <v>1103</v>
      </c>
      <c r="H415" s="9">
        <v>46251</v>
      </c>
      <c r="J415" t="s">
        <v>27</v>
      </c>
      <c r="L415" t="s">
        <v>1104</v>
      </c>
      <c r="N415" t="s">
        <v>1105</v>
      </c>
      <c r="P415" t="s">
        <v>77</v>
      </c>
      <c r="R415" t="s">
        <v>31</v>
      </c>
      <c r="T415" t="s">
        <v>32</v>
      </c>
      <c r="V415" t="s">
        <v>49</v>
      </c>
      <c r="X415" t="s">
        <v>49</v>
      </c>
      <c r="Z415" t="s">
        <v>77</v>
      </c>
      <c r="AB415" t="s">
        <v>35</v>
      </c>
      <c r="AD415" t="s">
        <v>65</v>
      </c>
      <c r="AF415" t="s">
        <v>1106</v>
      </c>
      <c r="AH415" t="s">
        <v>38</v>
      </c>
      <c r="AJ415" t="s">
        <v>39</v>
      </c>
      <c r="AL415">
        <v>0</v>
      </c>
      <c r="AN415">
        <v>1</v>
      </c>
      <c r="AP415">
        <v>180000</v>
      </c>
      <c r="AR415">
        <v>180000</v>
      </c>
      <c r="AT415" t="s">
        <v>77</v>
      </c>
      <c r="AU415" t="str">
        <f t="shared" si="6"/>
        <v>Omset Interface</v>
      </c>
    </row>
    <row r="416" spans="2:47" ht="23.1" customHeight="1">
      <c r="B416" s="9">
        <v>46251</v>
      </c>
      <c r="D416" t="s">
        <v>1102</v>
      </c>
      <c r="F416" t="s">
        <v>1103</v>
      </c>
      <c r="H416" s="9">
        <v>46251</v>
      </c>
      <c r="J416" t="s">
        <v>27</v>
      </c>
      <c r="L416" t="s">
        <v>1104</v>
      </c>
      <c r="N416" t="s">
        <v>1105</v>
      </c>
      <c r="P416" t="s">
        <v>77</v>
      </c>
      <c r="R416" t="s">
        <v>31</v>
      </c>
      <c r="T416" t="s">
        <v>41</v>
      </c>
      <c r="V416" t="s">
        <v>49</v>
      </c>
      <c r="X416" t="s">
        <v>49</v>
      </c>
      <c r="Z416" t="s">
        <v>77</v>
      </c>
      <c r="AB416" t="s">
        <v>35</v>
      </c>
      <c r="AD416" t="s">
        <v>65</v>
      </c>
      <c r="AF416" t="s">
        <v>1106</v>
      </c>
      <c r="AH416" t="s">
        <v>42</v>
      </c>
      <c r="AJ416" t="s">
        <v>43</v>
      </c>
      <c r="AL416">
        <v>17450</v>
      </c>
      <c r="AN416">
        <v>1</v>
      </c>
      <c r="AP416">
        <v>20000</v>
      </c>
      <c r="AR416">
        <v>20000</v>
      </c>
      <c r="AT416" t="s">
        <v>77</v>
      </c>
      <c r="AU416" t="str">
        <f t="shared" si="6"/>
        <v>Omset lainnya</v>
      </c>
    </row>
    <row r="417" spans="2:47" ht="23.1" customHeight="1">
      <c r="B417" s="9">
        <v>46251</v>
      </c>
      <c r="D417" t="s">
        <v>1107</v>
      </c>
      <c r="F417" t="s">
        <v>1108</v>
      </c>
      <c r="H417" s="9">
        <v>46250</v>
      </c>
      <c r="J417" t="s">
        <v>27</v>
      </c>
      <c r="L417" t="s">
        <v>1109</v>
      </c>
      <c r="N417" t="s">
        <v>1110</v>
      </c>
      <c r="P417" t="s">
        <v>64</v>
      </c>
      <c r="R417" t="s">
        <v>31</v>
      </c>
      <c r="T417" t="s">
        <v>32</v>
      </c>
      <c r="V417" t="s">
        <v>33</v>
      </c>
      <c r="X417" t="s">
        <v>33</v>
      </c>
      <c r="Z417" t="s">
        <v>57</v>
      </c>
      <c r="AB417" t="s">
        <v>1111</v>
      </c>
      <c r="AD417" t="s">
        <v>36</v>
      </c>
      <c r="AF417" t="s">
        <v>1112</v>
      </c>
      <c r="AH417" t="s">
        <v>585</v>
      </c>
      <c r="AJ417" t="s">
        <v>586</v>
      </c>
      <c r="AL417">
        <v>0</v>
      </c>
      <c r="AN417">
        <v>1</v>
      </c>
      <c r="AP417">
        <v>780000</v>
      </c>
      <c r="AR417">
        <v>780000</v>
      </c>
      <c r="AT417" t="s">
        <v>64</v>
      </c>
      <c r="AU417" t="str">
        <f t="shared" si="6"/>
        <v>Omset Mati Total</v>
      </c>
    </row>
    <row r="418" spans="2:47" ht="23.1" customHeight="1">
      <c r="B418" s="9">
        <v>46251</v>
      </c>
      <c r="D418" t="s">
        <v>1107</v>
      </c>
      <c r="F418" t="s">
        <v>1108</v>
      </c>
      <c r="H418" s="9">
        <v>46250</v>
      </c>
      <c r="J418" t="s">
        <v>27</v>
      </c>
      <c r="L418" t="s">
        <v>1109</v>
      </c>
      <c r="N418" t="s">
        <v>1110</v>
      </c>
      <c r="P418" t="s">
        <v>64</v>
      </c>
      <c r="R418" t="s">
        <v>31</v>
      </c>
      <c r="T418" t="s">
        <v>41</v>
      </c>
      <c r="V418" t="s">
        <v>33</v>
      </c>
      <c r="X418" t="s">
        <v>33</v>
      </c>
      <c r="Z418" t="s">
        <v>57</v>
      </c>
      <c r="AB418" t="s">
        <v>1111</v>
      </c>
      <c r="AD418" t="s">
        <v>36</v>
      </c>
      <c r="AF418" t="s">
        <v>1112</v>
      </c>
      <c r="AH418" t="s">
        <v>42</v>
      </c>
      <c r="AJ418" t="s">
        <v>43</v>
      </c>
      <c r="AL418">
        <v>17450</v>
      </c>
      <c r="AN418">
        <v>1</v>
      </c>
      <c r="AP418">
        <v>20000</v>
      </c>
      <c r="AR418">
        <v>20000</v>
      </c>
      <c r="AT418" t="s">
        <v>64</v>
      </c>
      <c r="AU418" t="str">
        <f t="shared" si="6"/>
        <v>Omset lainnya</v>
      </c>
    </row>
    <row r="419" spans="2:47" ht="23.1" customHeight="1">
      <c r="B419" s="9">
        <v>46251</v>
      </c>
      <c r="D419" t="s">
        <v>1113</v>
      </c>
      <c r="F419" t="s">
        <v>1114</v>
      </c>
      <c r="H419" s="9">
        <v>46251</v>
      </c>
      <c r="J419" t="s">
        <v>27</v>
      </c>
      <c r="L419" t="s">
        <v>1115</v>
      </c>
      <c r="N419" t="s">
        <v>34</v>
      </c>
      <c r="P419" t="s">
        <v>64</v>
      </c>
      <c r="R419" t="s">
        <v>31</v>
      </c>
      <c r="T419" t="s">
        <v>32</v>
      </c>
      <c r="V419" t="s">
        <v>86</v>
      </c>
      <c r="X419" t="s">
        <v>86</v>
      </c>
      <c r="Z419" t="s">
        <v>64</v>
      </c>
      <c r="AB419" t="s">
        <v>35</v>
      </c>
      <c r="AD419" t="s">
        <v>87</v>
      </c>
      <c r="AF419" t="s">
        <v>1116</v>
      </c>
      <c r="AH419" t="s">
        <v>38</v>
      </c>
      <c r="AJ419" t="s">
        <v>39</v>
      </c>
      <c r="AL419">
        <v>0</v>
      </c>
      <c r="AN419">
        <v>1</v>
      </c>
      <c r="AP419">
        <v>147000</v>
      </c>
      <c r="AR419">
        <v>147000</v>
      </c>
      <c r="AT419" t="s">
        <v>64</v>
      </c>
      <c r="AU419" t="str">
        <f t="shared" si="6"/>
        <v>Omset Interface</v>
      </c>
    </row>
    <row r="420" spans="2:47" ht="23.1" customHeight="1">
      <c r="B420" s="9">
        <v>46251</v>
      </c>
      <c r="D420" t="s">
        <v>1113</v>
      </c>
      <c r="F420" t="s">
        <v>1114</v>
      </c>
      <c r="H420" s="9">
        <v>46251</v>
      </c>
      <c r="J420" t="s">
        <v>27</v>
      </c>
      <c r="L420" t="s">
        <v>1115</v>
      </c>
      <c r="N420" t="s">
        <v>34</v>
      </c>
      <c r="P420" t="s">
        <v>64</v>
      </c>
      <c r="R420" t="s">
        <v>31</v>
      </c>
      <c r="T420" t="s">
        <v>41</v>
      </c>
      <c r="V420" t="s">
        <v>86</v>
      </c>
      <c r="X420" t="s">
        <v>86</v>
      </c>
      <c r="Z420" t="s">
        <v>64</v>
      </c>
      <c r="AB420" t="s">
        <v>35</v>
      </c>
      <c r="AD420" t="s">
        <v>87</v>
      </c>
      <c r="AF420" t="s">
        <v>1116</v>
      </c>
      <c r="AH420" t="s">
        <v>296</v>
      </c>
      <c r="AJ420" t="s">
        <v>297</v>
      </c>
      <c r="AL420">
        <v>19300</v>
      </c>
      <c r="AN420">
        <v>1</v>
      </c>
      <c r="AP420">
        <v>20000</v>
      </c>
      <c r="AR420">
        <v>20000</v>
      </c>
      <c r="AT420" t="s">
        <v>64</v>
      </c>
      <c r="AU420" t="str">
        <f t="shared" si="6"/>
        <v>Omset lainnya</v>
      </c>
    </row>
    <row r="421" spans="2:47" ht="23.1" customHeight="1">
      <c r="B421" s="9">
        <v>46248</v>
      </c>
      <c r="D421" t="s">
        <v>844</v>
      </c>
      <c r="F421" t="s">
        <v>845</v>
      </c>
      <c r="H421" s="9">
        <v>46241</v>
      </c>
      <c r="J421" t="s">
        <v>54</v>
      </c>
      <c r="L421" t="s">
        <v>227</v>
      </c>
      <c r="N421" t="s">
        <v>185</v>
      </c>
      <c r="P421" t="s">
        <v>77</v>
      </c>
      <c r="R421" t="s">
        <v>31</v>
      </c>
      <c r="T421" t="s">
        <v>32</v>
      </c>
      <c r="V421" t="s">
        <v>86</v>
      </c>
      <c r="X421" t="s">
        <v>86</v>
      </c>
      <c r="Z421" t="s">
        <v>77</v>
      </c>
      <c r="AB421" t="s">
        <v>268</v>
      </c>
      <c r="AD421" t="s">
        <v>87</v>
      </c>
      <c r="AF421" t="s">
        <v>220</v>
      </c>
      <c r="AH421" t="s">
        <v>270</v>
      </c>
      <c r="AJ421" t="s">
        <v>271</v>
      </c>
      <c r="AL421">
        <v>0</v>
      </c>
      <c r="AN421">
        <v>1</v>
      </c>
      <c r="AP421">
        <v>160000</v>
      </c>
      <c r="AR421">
        <v>160000</v>
      </c>
      <c r="AU421" t="str">
        <f t="shared" si="6"/>
        <v>Omset Interface</v>
      </c>
    </row>
    <row r="422" spans="2:47" ht="23.1" customHeight="1">
      <c r="B422" s="9">
        <v>46248</v>
      </c>
      <c r="D422" t="s">
        <v>844</v>
      </c>
      <c r="F422" t="s">
        <v>845</v>
      </c>
      <c r="H422" s="9">
        <v>46241</v>
      </c>
      <c r="J422" t="s">
        <v>54</v>
      </c>
      <c r="L422" t="s">
        <v>227</v>
      </c>
      <c r="N422" t="s">
        <v>185</v>
      </c>
      <c r="P422" t="s">
        <v>77</v>
      </c>
      <c r="R422" t="s">
        <v>31</v>
      </c>
      <c r="T422" t="s">
        <v>41</v>
      </c>
      <c r="V422" t="s">
        <v>86</v>
      </c>
      <c r="X422" t="s">
        <v>86</v>
      </c>
      <c r="Z422" t="s">
        <v>77</v>
      </c>
      <c r="AB422" t="s">
        <v>268</v>
      </c>
      <c r="AD422" t="s">
        <v>87</v>
      </c>
      <c r="AF422" t="s">
        <v>220</v>
      </c>
      <c r="AH422" t="s">
        <v>296</v>
      </c>
      <c r="AJ422" t="s">
        <v>297</v>
      </c>
      <c r="AL422">
        <v>19300</v>
      </c>
      <c r="AN422">
        <v>1</v>
      </c>
      <c r="AP422">
        <v>20000</v>
      </c>
      <c r="AR422">
        <v>20000</v>
      </c>
      <c r="AU422" t="str">
        <f t="shared" si="6"/>
        <v>Omset lainnya</v>
      </c>
    </row>
    <row r="423" spans="2:47" ht="23.1" customHeight="1">
      <c r="B423" s="9">
        <v>46248</v>
      </c>
      <c r="D423" t="s">
        <v>1048</v>
      </c>
      <c r="F423" t="s">
        <v>1049</v>
      </c>
      <c r="H423" s="9">
        <v>46248</v>
      </c>
      <c r="J423" t="s">
        <v>54</v>
      </c>
      <c r="L423" t="s">
        <v>1050</v>
      </c>
      <c r="N423" t="s">
        <v>1051</v>
      </c>
      <c r="P423" t="s">
        <v>77</v>
      </c>
      <c r="R423" t="s">
        <v>31</v>
      </c>
      <c r="T423" t="s">
        <v>32</v>
      </c>
      <c r="V423" t="s">
        <v>86</v>
      </c>
      <c r="X423" t="s">
        <v>86</v>
      </c>
      <c r="Z423" t="s">
        <v>64</v>
      </c>
      <c r="AB423" t="s">
        <v>95</v>
      </c>
      <c r="AD423" t="s">
        <v>50</v>
      </c>
      <c r="AF423" t="s">
        <v>1052</v>
      </c>
      <c r="AH423" t="s">
        <v>38</v>
      </c>
      <c r="AJ423" t="s">
        <v>39</v>
      </c>
      <c r="AL423">
        <v>0</v>
      </c>
      <c r="AN423">
        <v>1</v>
      </c>
      <c r="AP423">
        <v>150000</v>
      </c>
      <c r="AR423">
        <v>150000</v>
      </c>
      <c r="AT423" t="s">
        <v>64</v>
      </c>
      <c r="AU423" t="str">
        <f t="shared" si="6"/>
        <v>Omset Interface</v>
      </c>
    </row>
    <row r="424" spans="2:47" ht="23.1" customHeight="1">
      <c r="B424" s="9">
        <v>46248</v>
      </c>
      <c r="D424" t="s">
        <v>1048</v>
      </c>
      <c r="F424" t="s">
        <v>1049</v>
      </c>
      <c r="H424" s="9">
        <v>46248</v>
      </c>
      <c r="J424" t="s">
        <v>54</v>
      </c>
      <c r="L424" t="s">
        <v>1050</v>
      </c>
      <c r="N424" t="s">
        <v>1051</v>
      </c>
      <c r="P424" t="s">
        <v>77</v>
      </c>
      <c r="R424" t="s">
        <v>31</v>
      </c>
      <c r="T424" t="s">
        <v>32</v>
      </c>
      <c r="V424" t="s">
        <v>86</v>
      </c>
      <c r="X424" t="s">
        <v>86</v>
      </c>
      <c r="Z424" t="s">
        <v>64</v>
      </c>
      <c r="AB424" t="s">
        <v>95</v>
      </c>
      <c r="AD424" t="s">
        <v>50</v>
      </c>
      <c r="AF424" t="s">
        <v>1052</v>
      </c>
      <c r="AH424" t="s">
        <v>270</v>
      </c>
      <c r="AJ424" t="s">
        <v>271</v>
      </c>
      <c r="AL424">
        <v>0</v>
      </c>
      <c r="AN424">
        <v>1</v>
      </c>
      <c r="AP424">
        <v>85000</v>
      </c>
      <c r="AR424">
        <v>85000</v>
      </c>
      <c r="AT424" t="s">
        <v>64</v>
      </c>
      <c r="AU424" t="str">
        <f t="shared" si="6"/>
        <v>Omset Interface</v>
      </c>
    </row>
    <row r="425" spans="2:47" ht="23.1" customHeight="1">
      <c r="B425" s="9">
        <v>46248</v>
      </c>
      <c r="D425" t="s">
        <v>1048</v>
      </c>
      <c r="F425" t="s">
        <v>1049</v>
      </c>
      <c r="H425" s="9">
        <v>46248</v>
      </c>
      <c r="J425" t="s">
        <v>54</v>
      </c>
      <c r="L425" t="s">
        <v>1050</v>
      </c>
      <c r="N425" t="s">
        <v>1051</v>
      </c>
      <c r="P425" t="s">
        <v>77</v>
      </c>
      <c r="R425" t="s">
        <v>31</v>
      </c>
      <c r="T425" t="s">
        <v>32</v>
      </c>
      <c r="V425" t="s">
        <v>86</v>
      </c>
      <c r="X425" t="s">
        <v>86</v>
      </c>
      <c r="Z425" t="s">
        <v>64</v>
      </c>
      <c r="AB425" t="s">
        <v>95</v>
      </c>
      <c r="AD425" t="s">
        <v>50</v>
      </c>
      <c r="AF425" t="s">
        <v>1052</v>
      </c>
      <c r="AH425" t="s">
        <v>114</v>
      </c>
      <c r="AJ425" t="s">
        <v>115</v>
      </c>
      <c r="AL425">
        <v>0</v>
      </c>
      <c r="AN425">
        <v>1</v>
      </c>
      <c r="AP425">
        <v>40000</v>
      </c>
      <c r="AR425">
        <v>40000</v>
      </c>
      <c r="AT425" t="s">
        <v>64</v>
      </c>
      <c r="AU425" t="str">
        <f t="shared" si="6"/>
        <v>Omset Normal</v>
      </c>
    </row>
    <row r="426" spans="2:47" ht="23.1" customHeight="1">
      <c r="B426" s="9">
        <v>46248</v>
      </c>
      <c r="D426" t="s">
        <v>1117</v>
      </c>
      <c r="F426" t="s">
        <v>1118</v>
      </c>
      <c r="H426" s="9">
        <v>46248</v>
      </c>
      <c r="J426" t="s">
        <v>27</v>
      </c>
      <c r="L426" t="s">
        <v>941</v>
      </c>
      <c r="N426" t="s">
        <v>851</v>
      </c>
      <c r="P426" t="s">
        <v>64</v>
      </c>
      <c r="R426" t="s">
        <v>177</v>
      </c>
      <c r="T426" t="s">
        <v>41</v>
      </c>
      <c r="Z426" t="s">
        <v>64</v>
      </c>
      <c r="AB426" t="s">
        <v>178</v>
      </c>
      <c r="AD426" t="s">
        <v>78</v>
      </c>
      <c r="AF426" t="s">
        <v>1119</v>
      </c>
      <c r="AH426" t="s">
        <v>1120</v>
      </c>
      <c r="AJ426" t="s">
        <v>1121</v>
      </c>
      <c r="AL426">
        <v>142160</v>
      </c>
      <c r="AN426">
        <v>1</v>
      </c>
      <c r="AP426">
        <v>212000</v>
      </c>
      <c r="AR426">
        <v>212000</v>
      </c>
      <c r="AT426" t="s">
        <v>64</v>
      </c>
      <c r="AU426" t="str">
        <f t="shared" si="6"/>
        <v>Omset lainnya</v>
      </c>
    </row>
    <row r="427" spans="2:47" ht="23.1" customHeight="1">
      <c r="B427" s="9">
        <v>46248</v>
      </c>
      <c r="D427" t="s">
        <v>1122</v>
      </c>
      <c r="F427" t="s">
        <v>1123</v>
      </c>
      <c r="H427" s="9">
        <v>46248</v>
      </c>
      <c r="J427" t="s">
        <v>54</v>
      </c>
      <c r="L427" t="s">
        <v>1050</v>
      </c>
      <c r="N427" t="s">
        <v>1051</v>
      </c>
      <c r="P427" t="s">
        <v>64</v>
      </c>
      <c r="R427" t="s">
        <v>177</v>
      </c>
      <c r="T427" t="s">
        <v>41</v>
      </c>
      <c r="Z427" t="s">
        <v>64</v>
      </c>
      <c r="AB427" t="s">
        <v>178</v>
      </c>
      <c r="AD427" t="s">
        <v>78</v>
      </c>
      <c r="AF427" t="s">
        <v>1124</v>
      </c>
      <c r="AH427" t="s">
        <v>1125</v>
      </c>
      <c r="AJ427" t="s">
        <v>1126</v>
      </c>
      <c r="AL427">
        <v>20900</v>
      </c>
      <c r="AN427">
        <v>1</v>
      </c>
      <c r="AP427">
        <v>30000</v>
      </c>
      <c r="AR427">
        <v>30000</v>
      </c>
      <c r="AT427" t="s">
        <v>64</v>
      </c>
      <c r="AU427" t="str">
        <f t="shared" si="6"/>
        <v>Omset lainnya</v>
      </c>
    </row>
    <row r="428" spans="2:47" ht="23.1" customHeight="1">
      <c r="B428" s="9">
        <v>46248</v>
      </c>
      <c r="D428" t="s">
        <v>1127</v>
      </c>
      <c r="F428" t="s">
        <v>1128</v>
      </c>
      <c r="H428" s="9">
        <v>46246</v>
      </c>
      <c r="J428" t="s">
        <v>27</v>
      </c>
      <c r="L428" t="s">
        <v>1129</v>
      </c>
      <c r="N428" t="s">
        <v>1130</v>
      </c>
      <c r="P428" t="s">
        <v>57</v>
      </c>
      <c r="R428" t="s">
        <v>31</v>
      </c>
      <c r="T428" t="s">
        <v>32</v>
      </c>
      <c r="V428" t="s">
        <v>33</v>
      </c>
      <c r="X428" t="s">
        <v>33</v>
      </c>
      <c r="Z428" t="s">
        <v>64</v>
      </c>
      <c r="AB428" t="s">
        <v>95</v>
      </c>
      <c r="AD428" t="s">
        <v>87</v>
      </c>
      <c r="AF428" t="s">
        <v>1131</v>
      </c>
      <c r="AH428" t="s">
        <v>1132</v>
      </c>
      <c r="AJ428" t="s">
        <v>1133</v>
      </c>
      <c r="AL428">
        <v>0</v>
      </c>
      <c r="AN428">
        <v>1</v>
      </c>
      <c r="AP428">
        <v>480000</v>
      </c>
      <c r="AR428">
        <v>480000</v>
      </c>
      <c r="AT428" t="s">
        <v>57</v>
      </c>
      <c r="AU428" t="str">
        <f t="shared" si="6"/>
        <v>Omset Interface</v>
      </c>
    </row>
    <row r="429" spans="2:47" ht="23.1" customHeight="1">
      <c r="B429" s="9">
        <v>46248</v>
      </c>
      <c r="D429" t="s">
        <v>1127</v>
      </c>
      <c r="F429" t="s">
        <v>1128</v>
      </c>
      <c r="H429" s="9">
        <v>46246</v>
      </c>
      <c r="J429" t="s">
        <v>27</v>
      </c>
      <c r="L429" t="s">
        <v>1129</v>
      </c>
      <c r="N429" t="s">
        <v>1130</v>
      </c>
      <c r="P429" t="s">
        <v>57</v>
      </c>
      <c r="R429" t="s">
        <v>31</v>
      </c>
      <c r="T429" t="s">
        <v>41</v>
      </c>
      <c r="V429" t="s">
        <v>33</v>
      </c>
      <c r="X429" t="s">
        <v>33</v>
      </c>
      <c r="Z429" t="s">
        <v>64</v>
      </c>
      <c r="AB429" t="s">
        <v>95</v>
      </c>
      <c r="AD429" t="s">
        <v>87</v>
      </c>
      <c r="AF429" t="s">
        <v>1131</v>
      </c>
      <c r="AH429" t="s">
        <v>296</v>
      </c>
      <c r="AJ429" t="s">
        <v>297</v>
      </c>
      <c r="AL429">
        <v>19300</v>
      </c>
      <c r="AN429">
        <v>1</v>
      </c>
      <c r="AP429">
        <v>20000</v>
      </c>
      <c r="AR429">
        <v>20000</v>
      </c>
      <c r="AT429" t="s">
        <v>57</v>
      </c>
      <c r="AU429" t="str">
        <f t="shared" si="6"/>
        <v>Omset lainnya</v>
      </c>
    </row>
    <row r="430" spans="2:47" ht="14.1" customHeight="1">
      <c r="B430" s="9">
        <v>46253</v>
      </c>
      <c r="D430" t="s">
        <v>719</v>
      </c>
      <c r="F430" t="s">
        <v>720</v>
      </c>
      <c r="H430" s="9">
        <v>46244</v>
      </c>
      <c r="J430" t="s">
        <v>27</v>
      </c>
      <c r="L430" t="s">
        <v>721</v>
      </c>
      <c r="N430" t="s">
        <v>722</v>
      </c>
      <c r="P430" t="s">
        <v>57</v>
      </c>
      <c r="R430" t="s">
        <v>31</v>
      </c>
      <c r="T430" t="s">
        <v>94</v>
      </c>
      <c r="V430" t="s">
        <v>86</v>
      </c>
      <c r="X430" t="s">
        <v>86</v>
      </c>
      <c r="Z430" t="s">
        <v>57</v>
      </c>
      <c r="AB430" t="s">
        <v>95</v>
      </c>
      <c r="AD430" t="s">
        <v>65</v>
      </c>
      <c r="AF430" t="s">
        <v>723</v>
      </c>
      <c r="AH430" t="s">
        <v>1134</v>
      </c>
      <c r="AJ430" t="s">
        <v>1135</v>
      </c>
      <c r="AL430">
        <v>10000</v>
      </c>
      <c r="AN430">
        <v>1</v>
      </c>
      <c r="AP430">
        <v>20000</v>
      </c>
      <c r="AR430">
        <v>20000</v>
      </c>
      <c r="AU430" t="str">
        <f t="shared" si="6"/>
        <v>Omset lainnya</v>
      </c>
    </row>
    <row r="431" spans="2:47" ht="23.1" customHeight="1">
      <c r="B431" s="9">
        <v>46249</v>
      </c>
      <c r="D431" t="s">
        <v>949</v>
      </c>
      <c r="F431" t="s">
        <v>950</v>
      </c>
      <c r="H431" s="9">
        <v>46249</v>
      </c>
      <c r="J431" t="s">
        <v>27</v>
      </c>
      <c r="L431" t="s">
        <v>951</v>
      </c>
      <c r="N431" t="s">
        <v>952</v>
      </c>
      <c r="P431" t="s">
        <v>64</v>
      </c>
      <c r="R431" t="s">
        <v>31</v>
      </c>
      <c r="T431" t="s">
        <v>32</v>
      </c>
      <c r="V431" t="s">
        <v>86</v>
      </c>
      <c r="X431" t="s">
        <v>86</v>
      </c>
      <c r="Z431" t="s">
        <v>64</v>
      </c>
      <c r="AB431" t="s">
        <v>268</v>
      </c>
      <c r="AD431" t="s">
        <v>65</v>
      </c>
      <c r="AF431" t="s">
        <v>444</v>
      </c>
      <c r="AH431" t="s">
        <v>270</v>
      </c>
      <c r="AJ431" t="s">
        <v>271</v>
      </c>
      <c r="AL431">
        <v>0</v>
      </c>
      <c r="AN431">
        <v>1</v>
      </c>
      <c r="AP431">
        <v>47000</v>
      </c>
      <c r="AR431">
        <v>47000</v>
      </c>
      <c r="AT431" t="s">
        <v>64</v>
      </c>
      <c r="AU431" t="str">
        <f t="shared" si="6"/>
        <v>Omset Interface</v>
      </c>
    </row>
    <row r="432" spans="2:47" ht="23.1" customHeight="1">
      <c r="B432" s="9">
        <v>46249</v>
      </c>
      <c r="D432" t="s">
        <v>949</v>
      </c>
      <c r="F432" t="s">
        <v>950</v>
      </c>
      <c r="H432" s="9">
        <v>46249</v>
      </c>
      <c r="J432" t="s">
        <v>27</v>
      </c>
      <c r="L432" t="s">
        <v>951</v>
      </c>
      <c r="N432" t="s">
        <v>952</v>
      </c>
      <c r="P432" t="s">
        <v>64</v>
      </c>
      <c r="R432" t="s">
        <v>31</v>
      </c>
      <c r="T432" t="s">
        <v>41</v>
      </c>
      <c r="V432" t="s">
        <v>86</v>
      </c>
      <c r="X432" t="s">
        <v>86</v>
      </c>
      <c r="Z432" t="s">
        <v>64</v>
      </c>
      <c r="AB432" t="s">
        <v>268</v>
      </c>
      <c r="AD432" t="s">
        <v>65</v>
      </c>
      <c r="AF432" t="s">
        <v>444</v>
      </c>
      <c r="AH432" t="s">
        <v>296</v>
      </c>
      <c r="AJ432" t="s">
        <v>297</v>
      </c>
      <c r="AL432">
        <v>19300</v>
      </c>
      <c r="AN432">
        <v>1</v>
      </c>
      <c r="AP432">
        <v>20000</v>
      </c>
      <c r="AR432">
        <v>20000</v>
      </c>
      <c r="AT432" t="s">
        <v>64</v>
      </c>
      <c r="AU432" t="str">
        <f t="shared" si="6"/>
        <v>Omset lainnya</v>
      </c>
    </row>
    <row r="433" spans="2:47" ht="23.1" customHeight="1">
      <c r="B433" s="9">
        <v>46239</v>
      </c>
      <c r="D433" t="s">
        <v>572</v>
      </c>
      <c r="F433" t="s">
        <v>573</v>
      </c>
      <c r="H433" s="9">
        <v>46239</v>
      </c>
      <c r="J433" t="s">
        <v>27</v>
      </c>
      <c r="L433" t="s">
        <v>574</v>
      </c>
      <c r="N433" t="s">
        <v>575</v>
      </c>
      <c r="P433" t="s">
        <v>77</v>
      </c>
      <c r="R433" t="s">
        <v>31</v>
      </c>
      <c r="T433" t="s">
        <v>94</v>
      </c>
      <c r="V433" t="s">
        <v>49</v>
      </c>
      <c r="X433" t="s">
        <v>49</v>
      </c>
      <c r="Z433" t="s">
        <v>77</v>
      </c>
      <c r="AB433" t="s">
        <v>576</v>
      </c>
      <c r="AD433" t="s">
        <v>65</v>
      </c>
      <c r="AF433" t="s">
        <v>577</v>
      </c>
      <c r="AH433" t="s">
        <v>578</v>
      </c>
      <c r="AJ433" t="s">
        <v>579</v>
      </c>
      <c r="AL433">
        <v>52550</v>
      </c>
      <c r="AN433">
        <v>1</v>
      </c>
      <c r="AP433">
        <v>65000</v>
      </c>
      <c r="AR433">
        <v>65000</v>
      </c>
      <c r="AU433" t="str">
        <f t="shared" si="6"/>
        <v>Omset lainnya</v>
      </c>
    </row>
    <row r="434" spans="2:47" ht="23.1" customHeight="1">
      <c r="B434" s="9">
        <v>46253</v>
      </c>
      <c r="D434" t="s">
        <v>248</v>
      </c>
      <c r="F434" t="s">
        <v>249</v>
      </c>
      <c r="H434" s="9">
        <v>46237</v>
      </c>
      <c r="J434" t="s">
        <v>27</v>
      </c>
      <c r="L434" t="s">
        <v>250</v>
      </c>
      <c r="N434" t="s">
        <v>251</v>
      </c>
      <c r="P434" t="s">
        <v>64</v>
      </c>
      <c r="R434" t="s">
        <v>31</v>
      </c>
      <c r="T434" t="s">
        <v>94</v>
      </c>
      <c r="V434" t="s">
        <v>127</v>
      </c>
      <c r="X434" t="s">
        <v>127</v>
      </c>
      <c r="Z434" t="s">
        <v>64</v>
      </c>
      <c r="AB434" t="s">
        <v>111</v>
      </c>
      <c r="AD434" t="s">
        <v>36</v>
      </c>
      <c r="AF434" t="s">
        <v>252</v>
      </c>
      <c r="AH434" t="s">
        <v>1136</v>
      </c>
      <c r="AJ434" t="s">
        <v>1137</v>
      </c>
      <c r="AL434">
        <v>26250</v>
      </c>
      <c r="AN434">
        <v>1</v>
      </c>
      <c r="AP434">
        <v>30000</v>
      </c>
      <c r="AR434">
        <v>30000</v>
      </c>
      <c r="AU434" t="str">
        <f t="shared" si="6"/>
        <v>Omset lainnya</v>
      </c>
    </row>
    <row r="435" spans="2:47" ht="23.1" customHeight="1">
      <c r="B435" s="9">
        <v>46242</v>
      </c>
      <c r="D435" t="s">
        <v>445</v>
      </c>
      <c r="F435" t="s">
        <v>446</v>
      </c>
      <c r="H435" s="9">
        <v>46240</v>
      </c>
      <c r="J435" t="s">
        <v>27</v>
      </c>
      <c r="L435" t="s">
        <v>447</v>
      </c>
      <c r="N435" t="s">
        <v>448</v>
      </c>
      <c r="P435" t="s">
        <v>77</v>
      </c>
      <c r="R435" t="s">
        <v>31</v>
      </c>
      <c r="T435" t="s">
        <v>94</v>
      </c>
      <c r="V435" t="s">
        <v>49</v>
      </c>
      <c r="X435" t="s">
        <v>49</v>
      </c>
      <c r="Z435" t="s">
        <v>57</v>
      </c>
      <c r="AB435" t="s">
        <v>35</v>
      </c>
      <c r="AD435" t="s">
        <v>58</v>
      </c>
      <c r="AF435" t="s">
        <v>449</v>
      </c>
      <c r="AH435" t="s">
        <v>1138</v>
      </c>
      <c r="AJ435" t="s">
        <v>1139</v>
      </c>
      <c r="AL435">
        <v>50000</v>
      </c>
      <c r="AN435">
        <v>1</v>
      </c>
      <c r="AP435">
        <v>55000</v>
      </c>
      <c r="AR435">
        <v>55000</v>
      </c>
      <c r="AU435" t="str">
        <f t="shared" si="6"/>
        <v>Omset lainnya</v>
      </c>
    </row>
    <row r="436" spans="2:47" ht="23.1" customHeight="1">
      <c r="B436" s="9">
        <v>46250</v>
      </c>
      <c r="D436" t="s">
        <v>1089</v>
      </c>
      <c r="F436" t="s">
        <v>1090</v>
      </c>
      <c r="H436" s="9">
        <v>46250</v>
      </c>
      <c r="J436" t="s">
        <v>1091</v>
      </c>
      <c r="L436" t="s">
        <v>1092</v>
      </c>
      <c r="N436" t="s">
        <v>1093</v>
      </c>
      <c r="P436" t="s">
        <v>64</v>
      </c>
      <c r="R436" t="s">
        <v>31</v>
      </c>
      <c r="T436" t="s">
        <v>32</v>
      </c>
      <c r="V436" t="s">
        <v>86</v>
      </c>
      <c r="X436" t="s">
        <v>86</v>
      </c>
      <c r="Z436" t="s">
        <v>64</v>
      </c>
      <c r="AB436" t="s">
        <v>35</v>
      </c>
      <c r="AD436" t="s">
        <v>65</v>
      </c>
      <c r="AF436" t="s">
        <v>501</v>
      </c>
      <c r="AH436" t="s">
        <v>38</v>
      </c>
      <c r="AJ436" t="s">
        <v>39</v>
      </c>
      <c r="AL436">
        <v>0</v>
      </c>
      <c r="AN436">
        <v>1</v>
      </c>
      <c r="AP436">
        <v>0</v>
      </c>
      <c r="AR436">
        <v>0</v>
      </c>
      <c r="AT436" t="s">
        <v>64</v>
      </c>
      <c r="AU436" t="str">
        <f t="shared" si="6"/>
        <v>Omset Interface</v>
      </c>
    </row>
    <row r="437" spans="2:47" ht="23.1" customHeight="1">
      <c r="B437" s="9">
        <v>46253</v>
      </c>
      <c r="D437" t="s">
        <v>1140</v>
      </c>
      <c r="F437" t="s">
        <v>1141</v>
      </c>
      <c r="H437" s="9">
        <v>46250</v>
      </c>
      <c r="J437" t="s">
        <v>27</v>
      </c>
      <c r="L437" t="s">
        <v>1142</v>
      </c>
      <c r="N437" t="s">
        <v>1143</v>
      </c>
      <c r="P437" t="s">
        <v>64</v>
      </c>
      <c r="R437" t="s">
        <v>31</v>
      </c>
      <c r="T437" t="s">
        <v>94</v>
      </c>
      <c r="V437" t="s">
        <v>127</v>
      </c>
      <c r="X437" t="s">
        <v>127</v>
      </c>
      <c r="Z437" t="s">
        <v>57</v>
      </c>
      <c r="AB437" t="s">
        <v>35</v>
      </c>
      <c r="AD437" t="s">
        <v>65</v>
      </c>
      <c r="AF437" t="s">
        <v>1144</v>
      </c>
      <c r="AH437" t="s">
        <v>1145</v>
      </c>
      <c r="AJ437" t="s">
        <v>1146</v>
      </c>
      <c r="AL437">
        <v>174000</v>
      </c>
      <c r="AN437">
        <v>1</v>
      </c>
      <c r="AP437">
        <v>190000</v>
      </c>
      <c r="AR437">
        <v>190000</v>
      </c>
      <c r="AT437" t="s">
        <v>64</v>
      </c>
      <c r="AU437" t="str">
        <f t="shared" si="6"/>
        <v>Omset lainnya</v>
      </c>
    </row>
    <row r="438" spans="2:47" ht="23.1" customHeight="1">
      <c r="B438" s="9">
        <v>46247</v>
      </c>
      <c r="D438" t="s">
        <v>853</v>
      </c>
      <c r="F438" t="s">
        <v>854</v>
      </c>
      <c r="H438" s="9">
        <v>46247</v>
      </c>
      <c r="J438" t="s">
        <v>27</v>
      </c>
      <c r="L438" t="s">
        <v>855</v>
      </c>
      <c r="N438" t="s">
        <v>856</v>
      </c>
      <c r="P438" t="s">
        <v>310</v>
      </c>
      <c r="R438" t="s">
        <v>31</v>
      </c>
      <c r="T438" t="s">
        <v>94</v>
      </c>
      <c r="V438" t="s">
        <v>127</v>
      </c>
      <c r="X438" t="s">
        <v>127</v>
      </c>
      <c r="Z438" t="s">
        <v>310</v>
      </c>
      <c r="AB438" t="s">
        <v>35</v>
      </c>
      <c r="AD438" t="s">
        <v>112</v>
      </c>
      <c r="AF438" t="s">
        <v>857</v>
      </c>
      <c r="AH438" t="s">
        <v>1147</v>
      </c>
      <c r="AJ438" t="s">
        <v>1148</v>
      </c>
      <c r="AL438">
        <v>10000</v>
      </c>
      <c r="AN438">
        <v>1</v>
      </c>
      <c r="AP438">
        <v>11000</v>
      </c>
      <c r="AR438">
        <v>11000</v>
      </c>
      <c r="AT438" t="s">
        <v>310</v>
      </c>
      <c r="AU438" t="str">
        <f t="shared" si="6"/>
        <v>Omset lainnya</v>
      </c>
    </row>
    <row r="439" spans="2:47" ht="23.1" customHeight="1">
      <c r="B439" s="9">
        <v>46251</v>
      </c>
      <c r="D439" t="s">
        <v>910</v>
      </c>
      <c r="F439" t="s">
        <v>911</v>
      </c>
      <c r="H439" s="9">
        <v>46246</v>
      </c>
      <c r="J439" t="s">
        <v>54</v>
      </c>
      <c r="L439" t="s">
        <v>408</v>
      </c>
      <c r="N439" t="s">
        <v>409</v>
      </c>
      <c r="P439" t="s">
        <v>57</v>
      </c>
      <c r="R439" t="s">
        <v>31</v>
      </c>
      <c r="T439" t="s">
        <v>32</v>
      </c>
      <c r="V439" t="s">
        <v>33</v>
      </c>
      <c r="X439" t="s">
        <v>33</v>
      </c>
      <c r="Z439" t="s">
        <v>77</v>
      </c>
      <c r="AB439" t="s">
        <v>95</v>
      </c>
      <c r="AD439" t="s">
        <v>36</v>
      </c>
      <c r="AF439" t="s">
        <v>912</v>
      </c>
      <c r="AH439" t="s">
        <v>114</v>
      </c>
      <c r="AJ439" t="s">
        <v>115</v>
      </c>
      <c r="AL439">
        <v>0</v>
      </c>
      <c r="AN439">
        <v>1</v>
      </c>
      <c r="AP439">
        <v>60000</v>
      </c>
      <c r="AR439">
        <v>60000</v>
      </c>
      <c r="AT439" t="s">
        <v>57</v>
      </c>
      <c r="AU439" t="str">
        <f t="shared" si="6"/>
        <v>Omset Normal</v>
      </c>
    </row>
    <row r="440" spans="2:47" ht="23.1" customHeight="1">
      <c r="B440" s="9">
        <v>46251</v>
      </c>
      <c r="D440" t="s">
        <v>910</v>
      </c>
      <c r="F440" t="s">
        <v>911</v>
      </c>
      <c r="H440" s="9">
        <v>46246</v>
      </c>
      <c r="J440" t="s">
        <v>54</v>
      </c>
      <c r="L440" t="s">
        <v>408</v>
      </c>
      <c r="N440" t="s">
        <v>409</v>
      </c>
      <c r="P440" t="s">
        <v>57</v>
      </c>
      <c r="R440" t="s">
        <v>31</v>
      </c>
      <c r="T440" t="s">
        <v>41</v>
      </c>
      <c r="V440" t="s">
        <v>33</v>
      </c>
      <c r="X440" t="s">
        <v>33</v>
      </c>
      <c r="Z440" t="s">
        <v>77</v>
      </c>
      <c r="AB440" t="s">
        <v>95</v>
      </c>
      <c r="AD440" t="s">
        <v>36</v>
      </c>
      <c r="AF440" t="s">
        <v>912</v>
      </c>
      <c r="AH440" t="s">
        <v>42</v>
      </c>
      <c r="AJ440" t="s">
        <v>43</v>
      </c>
      <c r="AL440">
        <v>17450</v>
      </c>
      <c r="AN440">
        <v>1</v>
      </c>
      <c r="AP440">
        <v>20000</v>
      </c>
      <c r="AR440">
        <v>20000</v>
      </c>
      <c r="AT440" t="s">
        <v>57</v>
      </c>
      <c r="AU440" t="str">
        <f t="shared" si="6"/>
        <v>Omset lainnya</v>
      </c>
    </row>
    <row r="441" spans="2:47" ht="23.1" customHeight="1">
      <c r="B441" s="9">
        <v>46251</v>
      </c>
      <c r="D441" t="s">
        <v>1149</v>
      </c>
      <c r="F441" t="s">
        <v>1150</v>
      </c>
      <c r="H441" s="9">
        <v>46251</v>
      </c>
      <c r="J441" t="s">
        <v>27</v>
      </c>
      <c r="L441" t="s">
        <v>1151</v>
      </c>
      <c r="N441" t="s">
        <v>1152</v>
      </c>
      <c r="P441" t="s">
        <v>57</v>
      </c>
      <c r="R441" t="s">
        <v>31</v>
      </c>
      <c r="T441" t="s">
        <v>32</v>
      </c>
      <c r="V441" t="s">
        <v>127</v>
      </c>
      <c r="X441" t="s">
        <v>127</v>
      </c>
      <c r="Z441" t="s">
        <v>57</v>
      </c>
      <c r="AB441" t="s">
        <v>35</v>
      </c>
      <c r="AD441" t="s">
        <v>65</v>
      </c>
      <c r="AF441" t="s">
        <v>198</v>
      </c>
      <c r="AH441" t="s">
        <v>38</v>
      </c>
      <c r="AJ441" t="s">
        <v>39</v>
      </c>
      <c r="AL441">
        <v>0</v>
      </c>
      <c r="AN441">
        <v>1</v>
      </c>
      <c r="AP441">
        <v>102000</v>
      </c>
      <c r="AR441">
        <v>102000</v>
      </c>
      <c r="AU441" t="str">
        <f t="shared" si="6"/>
        <v>Omset Interface</v>
      </c>
    </row>
    <row r="442" spans="2:47" ht="23.1" customHeight="1">
      <c r="B442" s="9">
        <v>46251</v>
      </c>
      <c r="D442" t="s">
        <v>1149</v>
      </c>
      <c r="F442" t="s">
        <v>1150</v>
      </c>
      <c r="H442" s="9">
        <v>46251</v>
      </c>
      <c r="J442" t="s">
        <v>27</v>
      </c>
      <c r="L442" t="s">
        <v>1151</v>
      </c>
      <c r="N442" t="s">
        <v>1152</v>
      </c>
      <c r="P442" t="s">
        <v>57</v>
      </c>
      <c r="R442" t="s">
        <v>31</v>
      </c>
      <c r="T442" t="s">
        <v>41</v>
      </c>
      <c r="V442" t="s">
        <v>127</v>
      </c>
      <c r="X442" t="s">
        <v>127</v>
      </c>
      <c r="Z442" t="s">
        <v>57</v>
      </c>
      <c r="AB442" t="s">
        <v>35</v>
      </c>
      <c r="AD442" t="s">
        <v>65</v>
      </c>
      <c r="AF442" t="s">
        <v>198</v>
      </c>
      <c r="AH442" t="s">
        <v>315</v>
      </c>
      <c r="AJ442" t="s">
        <v>316</v>
      </c>
      <c r="AL442">
        <v>13943</v>
      </c>
      <c r="AN442">
        <v>1</v>
      </c>
      <c r="AP442">
        <v>20000</v>
      </c>
      <c r="AR442">
        <v>20000</v>
      </c>
      <c r="AU442" t="str">
        <f t="shared" si="6"/>
        <v>Omset lainnya</v>
      </c>
    </row>
    <row r="443" spans="2:47" ht="23.1" customHeight="1">
      <c r="B443" s="9">
        <v>46251</v>
      </c>
      <c r="D443" t="s">
        <v>1149</v>
      </c>
      <c r="F443" t="s">
        <v>1150</v>
      </c>
      <c r="H443" s="9">
        <v>46251</v>
      </c>
      <c r="J443" t="s">
        <v>27</v>
      </c>
      <c r="L443" t="s">
        <v>1151</v>
      </c>
      <c r="N443" t="s">
        <v>1152</v>
      </c>
      <c r="P443" t="s">
        <v>57</v>
      </c>
      <c r="R443" t="s">
        <v>31</v>
      </c>
      <c r="T443" t="s">
        <v>41</v>
      </c>
      <c r="V443" t="s">
        <v>127</v>
      </c>
      <c r="X443" t="s">
        <v>127</v>
      </c>
      <c r="Z443" t="s">
        <v>57</v>
      </c>
      <c r="AB443" t="s">
        <v>35</v>
      </c>
      <c r="AD443" t="s">
        <v>65</v>
      </c>
      <c r="AF443" t="s">
        <v>198</v>
      </c>
      <c r="AH443" t="s">
        <v>42</v>
      </c>
      <c r="AJ443" t="s">
        <v>43</v>
      </c>
      <c r="AL443">
        <v>17450</v>
      </c>
      <c r="AN443">
        <v>1</v>
      </c>
      <c r="AP443">
        <v>20000</v>
      </c>
      <c r="AR443">
        <v>20000</v>
      </c>
      <c r="AU443" t="str">
        <f t="shared" si="6"/>
        <v>Omset lainnya</v>
      </c>
    </row>
    <row r="444" spans="2:47" ht="23.1" customHeight="1">
      <c r="B444" s="9">
        <v>46251</v>
      </c>
      <c r="D444" t="s">
        <v>1153</v>
      </c>
      <c r="F444" t="s">
        <v>1154</v>
      </c>
      <c r="H444" s="9">
        <v>46251</v>
      </c>
      <c r="J444" t="s">
        <v>27</v>
      </c>
      <c r="L444" t="s">
        <v>999</v>
      </c>
      <c r="N444" t="s">
        <v>1000</v>
      </c>
      <c r="P444" t="s">
        <v>77</v>
      </c>
      <c r="R444" t="s">
        <v>31</v>
      </c>
      <c r="T444" t="s">
        <v>32</v>
      </c>
      <c r="V444" t="s">
        <v>49</v>
      </c>
      <c r="X444" t="s">
        <v>49</v>
      </c>
      <c r="Z444" t="s">
        <v>64</v>
      </c>
      <c r="AB444" t="s">
        <v>95</v>
      </c>
      <c r="AD444" t="s">
        <v>65</v>
      </c>
      <c r="AF444" t="s">
        <v>1155</v>
      </c>
      <c r="AH444" t="s">
        <v>826</v>
      </c>
      <c r="AJ444" t="s">
        <v>827</v>
      </c>
      <c r="AL444">
        <v>0</v>
      </c>
      <c r="AN444">
        <v>1</v>
      </c>
      <c r="AP444">
        <v>230000</v>
      </c>
      <c r="AR444">
        <v>230000</v>
      </c>
      <c r="AU444" t="str">
        <f t="shared" si="6"/>
        <v>Omset Normal</v>
      </c>
    </row>
    <row r="445" spans="2:47" ht="23.1" customHeight="1">
      <c r="B445" s="9">
        <v>46251</v>
      </c>
      <c r="D445" t="s">
        <v>1153</v>
      </c>
      <c r="F445" t="s">
        <v>1154</v>
      </c>
      <c r="H445" s="9">
        <v>46251</v>
      </c>
      <c r="J445" t="s">
        <v>27</v>
      </c>
      <c r="L445" t="s">
        <v>999</v>
      </c>
      <c r="N445" t="s">
        <v>1000</v>
      </c>
      <c r="P445" t="s">
        <v>77</v>
      </c>
      <c r="R445" t="s">
        <v>31</v>
      </c>
      <c r="T445" t="s">
        <v>41</v>
      </c>
      <c r="V445" t="s">
        <v>49</v>
      </c>
      <c r="X445" t="s">
        <v>49</v>
      </c>
      <c r="Z445" t="s">
        <v>64</v>
      </c>
      <c r="AB445" t="s">
        <v>95</v>
      </c>
      <c r="AD445" t="s">
        <v>65</v>
      </c>
      <c r="AF445" t="s">
        <v>1155</v>
      </c>
      <c r="AH445" t="s">
        <v>42</v>
      </c>
      <c r="AJ445" t="s">
        <v>43</v>
      </c>
      <c r="AL445">
        <v>17450</v>
      </c>
      <c r="AN445">
        <v>1</v>
      </c>
      <c r="AP445">
        <v>20000</v>
      </c>
      <c r="AR445">
        <v>20000</v>
      </c>
      <c r="AU445" t="str">
        <f t="shared" si="6"/>
        <v>Omset lainnya</v>
      </c>
    </row>
    <row r="446" spans="2:47" ht="23.1" customHeight="1">
      <c r="B446" s="9">
        <v>46251</v>
      </c>
      <c r="D446" t="s">
        <v>1156</v>
      </c>
      <c r="F446" t="s">
        <v>1157</v>
      </c>
      <c r="H446" s="9">
        <v>46251</v>
      </c>
      <c r="J446" t="s">
        <v>27</v>
      </c>
      <c r="L446" t="s">
        <v>1115</v>
      </c>
      <c r="N446" t="s">
        <v>34</v>
      </c>
      <c r="P446" t="s">
        <v>64</v>
      </c>
      <c r="R446" t="s">
        <v>177</v>
      </c>
      <c r="T446" t="s">
        <v>41</v>
      </c>
      <c r="Z446" t="s">
        <v>64</v>
      </c>
      <c r="AB446" t="s">
        <v>178</v>
      </c>
      <c r="AD446" t="s">
        <v>78</v>
      </c>
      <c r="AF446" t="s">
        <v>1158</v>
      </c>
      <c r="AH446" t="s">
        <v>1159</v>
      </c>
      <c r="AJ446" t="s">
        <v>1160</v>
      </c>
      <c r="AL446">
        <v>41000</v>
      </c>
      <c r="AN446">
        <v>1</v>
      </c>
      <c r="AP446">
        <v>80000</v>
      </c>
      <c r="AR446">
        <v>80000</v>
      </c>
      <c r="AT446" t="s">
        <v>64</v>
      </c>
      <c r="AU446" t="str">
        <f t="shared" si="6"/>
        <v>Omset lainnya</v>
      </c>
    </row>
    <row r="447" spans="2:47" ht="23.1" customHeight="1">
      <c r="B447" s="9">
        <v>46251</v>
      </c>
      <c r="D447" t="s">
        <v>1149</v>
      </c>
      <c r="F447" t="s">
        <v>1150</v>
      </c>
      <c r="H447" s="9">
        <v>46251</v>
      </c>
      <c r="J447" t="s">
        <v>27</v>
      </c>
      <c r="L447" t="s">
        <v>1151</v>
      </c>
      <c r="N447" t="s">
        <v>1152</v>
      </c>
      <c r="P447" t="s">
        <v>57</v>
      </c>
      <c r="R447" t="s">
        <v>31</v>
      </c>
      <c r="T447" t="s">
        <v>94</v>
      </c>
      <c r="V447" t="s">
        <v>127</v>
      </c>
      <c r="X447" t="s">
        <v>127</v>
      </c>
      <c r="Z447" t="s">
        <v>57</v>
      </c>
      <c r="AB447" t="s">
        <v>35</v>
      </c>
      <c r="AD447" t="s">
        <v>65</v>
      </c>
      <c r="AF447" t="s">
        <v>198</v>
      </c>
      <c r="AH447" t="s">
        <v>426</v>
      </c>
      <c r="AJ447" t="s">
        <v>427</v>
      </c>
      <c r="AL447">
        <v>125000</v>
      </c>
      <c r="AN447">
        <v>1</v>
      </c>
      <c r="AP447">
        <v>138000</v>
      </c>
      <c r="AR447">
        <v>138000</v>
      </c>
      <c r="AU447" t="str">
        <f t="shared" si="6"/>
        <v>Omset lainnya</v>
      </c>
    </row>
    <row r="448" spans="2:47" ht="23.1" customHeight="1">
      <c r="B448" s="9">
        <v>46252</v>
      </c>
      <c r="D448" t="s">
        <v>1018</v>
      </c>
      <c r="F448" t="s">
        <v>1019</v>
      </c>
      <c r="H448" s="9">
        <v>46252</v>
      </c>
      <c r="J448" t="s">
        <v>27</v>
      </c>
      <c r="L448" t="s">
        <v>1020</v>
      </c>
      <c r="N448" t="s">
        <v>993</v>
      </c>
      <c r="P448" t="s">
        <v>64</v>
      </c>
      <c r="R448" t="s">
        <v>31</v>
      </c>
      <c r="T448" t="s">
        <v>32</v>
      </c>
      <c r="V448" t="s">
        <v>127</v>
      </c>
      <c r="X448" t="s">
        <v>127</v>
      </c>
      <c r="Z448" t="s">
        <v>64</v>
      </c>
      <c r="AB448" t="s">
        <v>35</v>
      </c>
      <c r="AD448" t="s">
        <v>128</v>
      </c>
      <c r="AF448" t="s">
        <v>295</v>
      </c>
      <c r="AH448" t="s">
        <v>38</v>
      </c>
      <c r="AJ448" t="s">
        <v>39</v>
      </c>
      <c r="AL448">
        <v>0</v>
      </c>
      <c r="AN448">
        <v>1</v>
      </c>
      <c r="AP448">
        <v>114000</v>
      </c>
      <c r="AR448">
        <v>114000</v>
      </c>
      <c r="AT448" t="s">
        <v>64</v>
      </c>
      <c r="AU448" t="str">
        <f t="shared" si="6"/>
        <v>Omset Interface</v>
      </c>
    </row>
    <row r="449" spans="2:47" ht="23.1" customHeight="1">
      <c r="B449" s="9">
        <v>46252</v>
      </c>
      <c r="D449" t="s">
        <v>1018</v>
      </c>
      <c r="F449" t="s">
        <v>1019</v>
      </c>
      <c r="H449" s="9">
        <v>46252</v>
      </c>
      <c r="J449" t="s">
        <v>27</v>
      </c>
      <c r="L449" t="s">
        <v>1020</v>
      </c>
      <c r="N449" t="s">
        <v>993</v>
      </c>
      <c r="P449" t="s">
        <v>64</v>
      </c>
      <c r="R449" t="s">
        <v>31</v>
      </c>
      <c r="T449" t="s">
        <v>41</v>
      </c>
      <c r="V449" t="s">
        <v>127</v>
      </c>
      <c r="X449" t="s">
        <v>127</v>
      </c>
      <c r="Z449" t="s">
        <v>64</v>
      </c>
      <c r="AB449" t="s">
        <v>35</v>
      </c>
      <c r="AD449" t="s">
        <v>128</v>
      </c>
      <c r="AF449" t="s">
        <v>295</v>
      </c>
      <c r="AH449" t="s">
        <v>180</v>
      </c>
      <c r="AJ449" t="s">
        <v>181</v>
      </c>
      <c r="AL449">
        <v>19913.043478</v>
      </c>
      <c r="AN449">
        <v>1</v>
      </c>
      <c r="AP449">
        <v>20000</v>
      </c>
      <c r="AR449">
        <v>20000</v>
      </c>
      <c r="AT449" t="s">
        <v>64</v>
      </c>
      <c r="AU449" t="str">
        <f t="shared" si="6"/>
        <v>Omset lainnya</v>
      </c>
    </row>
    <row r="450" spans="2:47" ht="23.1" customHeight="1">
      <c r="B450" s="9">
        <v>46252</v>
      </c>
      <c r="D450" t="s">
        <v>1023</v>
      </c>
      <c r="F450" t="s">
        <v>1024</v>
      </c>
      <c r="H450" s="9">
        <v>46252</v>
      </c>
      <c r="J450" t="s">
        <v>27</v>
      </c>
      <c r="L450" t="s">
        <v>986</v>
      </c>
      <c r="N450" t="s">
        <v>987</v>
      </c>
      <c r="P450" t="s">
        <v>57</v>
      </c>
      <c r="R450" t="s">
        <v>31</v>
      </c>
      <c r="T450" t="s">
        <v>32</v>
      </c>
      <c r="V450" t="s">
        <v>33</v>
      </c>
      <c r="X450" t="s">
        <v>33</v>
      </c>
      <c r="Z450" t="s">
        <v>57</v>
      </c>
      <c r="AB450" t="s">
        <v>95</v>
      </c>
      <c r="AD450" t="s">
        <v>50</v>
      </c>
      <c r="AF450" t="s">
        <v>1025</v>
      </c>
      <c r="AH450" t="s">
        <v>114</v>
      </c>
      <c r="AJ450" t="s">
        <v>115</v>
      </c>
      <c r="AL450">
        <v>0</v>
      </c>
      <c r="AN450">
        <v>1</v>
      </c>
      <c r="AP450">
        <v>55000</v>
      </c>
      <c r="AR450">
        <v>55000</v>
      </c>
      <c r="AT450" t="s">
        <v>57</v>
      </c>
      <c r="AU450" t="str">
        <f t="shared" ref="AU450:AU513" si="7">_xlfn.IFS(ISNUMBER(SEARCH("Interface", AJ450)), "Omset Interface", ISNUMBER(SEARCH("Normal", AJ450)), "Omset Normal", ISNUMBER(SEARCH("Mati Total", AJ450)), "Omset Mati Total", ISNUMBER(SEARCH("Promo", AJ450)), "Omset Promo", TRUE, "Omset lainnya")</f>
        <v>Omset Normal</v>
      </c>
    </row>
    <row r="451" spans="2:47" ht="23.1" customHeight="1">
      <c r="B451" s="9">
        <v>46252</v>
      </c>
      <c r="D451" t="s">
        <v>1161</v>
      </c>
      <c r="F451" t="s">
        <v>1162</v>
      </c>
      <c r="H451" s="9">
        <v>46252</v>
      </c>
      <c r="J451" t="s">
        <v>27</v>
      </c>
      <c r="L451" t="s">
        <v>1163</v>
      </c>
      <c r="N451" t="s">
        <v>1164</v>
      </c>
      <c r="P451" t="s">
        <v>57</v>
      </c>
      <c r="R451" t="s">
        <v>31</v>
      </c>
      <c r="T451" t="s">
        <v>94</v>
      </c>
      <c r="V451" t="s">
        <v>33</v>
      </c>
      <c r="X451" t="s">
        <v>33</v>
      </c>
      <c r="Z451" t="s">
        <v>57</v>
      </c>
      <c r="AB451" t="s">
        <v>268</v>
      </c>
      <c r="AD451" t="s">
        <v>87</v>
      </c>
      <c r="AF451" t="s">
        <v>1165</v>
      </c>
      <c r="AH451" t="s">
        <v>1166</v>
      </c>
      <c r="AJ451" t="s">
        <v>1167</v>
      </c>
      <c r="AL451">
        <v>190000</v>
      </c>
      <c r="AN451">
        <v>1</v>
      </c>
      <c r="AP451">
        <v>210000</v>
      </c>
      <c r="AR451">
        <v>210000</v>
      </c>
      <c r="AU451" t="str">
        <f t="shared" si="7"/>
        <v>Omset lainnya</v>
      </c>
    </row>
    <row r="452" spans="2:47" ht="23.1" customHeight="1">
      <c r="B452" s="9">
        <v>46253</v>
      </c>
      <c r="D452" t="s">
        <v>1004</v>
      </c>
      <c r="F452" t="s">
        <v>1005</v>
      </c>
      <c r="H452" s="9">
        <v>46250</v>
      </c>
      <c r="J452" t="s">
        <v>27</v>
      </c>
      <c r="L452" t="s">
        <v>1006</v>
      </c>
      <c r="N452" t="s">
        <v>1007</v>
      </c>
      <c r="P452" t="s">
        <v>64</v>
      </c>
      <c r="R452" t="s">
        <v>31</v>
      </c>
      <c r="T452" t="s">
        <v>32</v>
      </c>
      <c r="V452" t="s">
        <v>86</v>
      </c>
      <c r="X452" t="s">
        <v>86</v>
      </c>
      <c r="Z452" t="s">
        <v>77</v>
      </c>
      <c r="AB452" t="s">
        <v>268</v>
      </c>
      <c r="AD452" t="s">
        <v>568</v>
      </c>
      <c r="AF452" t="s">
        <v>1008</v>
      </c>
      <c r="AH452" t="s">
        <v>270</v>
      </c>
      <c r="AJ452" t="s">
        <v>271</v>
      </c>
      <c r="AL452">
        <v>0</v>
      </c>
      <c r="AN452">
        <v>1</v>
      </c>
      <c r="AP452">
        <v>50000</v>
      </c>
      <c r="AR452">
        <v>50000</v>
      </c>
      <c r="AT452" t="s">
        <v>64</v>
      </c>
      <c r="AU452" t="str">
        <f t="shared" si="7"/>
        <v>Omset Interface</v>
      </c>
    </row>
    <row r="453" spans="2:47" ht="23.1" customHeight="1">
      <c r="B453" s="9">
        <v>46253</v>
      </c>
      <c r="D453" t="s">
        <v>1004</v>
      </c>
      <c r="F453" t="s">
        <v>1005</v>
      </c>
      <c r="H453" s="9">
        <v>46250</v>
      </c>
      <c r="J453" t="s">
        <v>27</v>
      </c>
      <c r="L453" t="s">
        <v>1006</v>
      </c>
      <c r="N453" t="s">
        <v>1007</v>
      </c>
      <c r="P453" t="s">
        <v>64</v>
      </c>
      <c r="R453" t="s">
        <v>31</v>
      </c>
      <c r="T453" t="s">
        <v>41</v>
      </c>
      <c r="V453" t="s">
        <v>86</v>
      </c>
      <c r="X453" t="s">
        <v>86</v>
      </c>
      <c r="Z453" t="s">
        <v>77</v>
      </c>
      <c r="AB453" t="s">
        <v>268</v>
      </c>
      <c r="AD453" t="s">
        <v>568</v>
      </c>
      <c r="AF453" t="s">
        <v>1008</v>
      </c>
      <c r="AH453" t="s">
        <v>42</v>
      </c>
      <c r="AJ453" t="s">
        <v>43</v>
      </c>
      <c r="AL453">
        <v>17450</v>
      </c>
      <c r="AN453">
        <v>1</v>
      </c>
      <c r="AP453">
        <v>20000</v>
      </c>
      <c r="AR453">
        <v>20000</v>
      </c>
      <c r="AT453" t="s">
        <v>64</v>
      </c>
      <c r="AU453" t="str">
        <f t="shared" si="7"/>
        <v>Omset lainnya</v>
      </c>
    </row>
    <row r="454" spans="2:47" ht="23.1" customHeight="1">
      <c r="B454" s="9">
        <v>46253</v>
      </c>
      <c r="D454" t="s">
        <v>1168</v>
      </c>
      <c r="F454" t="s">
        <v>1169</v>
      </c>
      <c r="H454" s="9">
        <v>46253</v>
      </c>
      <c r="J454" t="s">
        <v>27</v>
      </c>
      <c r="L454" t="s">
        <v>1170</v>
      </c>
      <c r="N454" t="s">
        <v>1105</v>
      </c>
      <c r="P454" t="s">
        <v>57</v>
      </c>
      <c r="R454" t="s">
        <v>31</v>
      </c>
      <c r="T454" t="s">
        <v>32</v>
      </c>
      <c r="V454" t="s">
        <v>33</v>
      </c>
      <c r="X454" t="s">
        <v>86</v>
      </c>
      <c r="Z454" t="s">
        <v>57</v>
      </c>
      <c r="AB454" t="s">
        <v>35</v>
      </c>
      <c r="AD454" t="s">
        <v>36</v>
      </c>
      <c r="AF454" t="s">
        <v>537</v>
      </c>
      <c r="AH454" t="s">
        <v>38</v>
      </c>
      <c r="AJ454" t="s">
        <v>39</v>
      </c>
      <c r="AL454">
        <v>0</v>
      </c>
      <c r="AN454">
        <v>1</v>
      </c>
      <c r="AP454">
        <v>100000</v>
      </c>
      <c r="AR454">
        <v>100000</v>
      </c>
      <c r="AT454" t="s">
        <v>57</v>
      </c>
      <c r="AU454" t="str">
        <f t="shared" si="7"/>
        <v>Omset Interface</v>
      </c>
    </row>
    <row r="455" spans="2:47" ht="23.1" customHeight="1">
      <c r="B455" s="9">
        <v>46251</v>
      </c>
      <c r="D455" t="s">
        <v>976</v>
      </c>
      <c r="F455" t="s">
        <v>977</v>
      </c>
      <c r="H455" s="9">
        <v>46251</v>
      </c>
      <c r="J455" t="s">
        <v>27</v>
      </c>
      <c r="L455" t="s">
        <v>978</v>
      </c>
      <c r="N455" t="s">
        <v>306</v>
      </c>
      <c r="P455" t="s">
        <v>77</v>
      </c>
      <c r="R455" t="s">
        <v>31</v>
      </c>
      <c r="T455" t="s">
        <v>94</v>
      </c>
      <c r="V455" t="s">
        <v>86</v>
      </c>
      <c r="X455" t="s">
        <v>86</v>
      </c>
      <c r="Z455" t="s">
        <v>77</v>
      </c>
      <c r="AB455" t="s">
        <v>35</v>
      </c>
      <c r="AD455" t="s">
        <v>87</v>
      </c>
      <c r="AF455" t="s">
        <v>979</v>
      </c>
      <c r="AH455" t="s">
        <v>1171</v>
      </c>
      <c r="AJ455" t="s">
        <v>1172</v>
      </c>
      <c r="AL455">
        <v>218000</v>
      </c>
      <c r="AN455">
        <v>1</v>
      </c>
      <c r="AP455">
        <v>240000</v>
      </c>
      <c r="AR455">
        <v>240000</v>
      </c>
      <c r="AU455" t="str">
        <f t="shared" si="7"/>
        <v>Omset lainnya</v>
      </c>
    </row>
    <row r="456" spans="2:47" ht="23.1" customHeight="1">
      <c r="B456" s="9">
        <v>46251</v>
      </c>
      <c r="D456" t="s">
        <v>1113</v>
      </c>
      <c r="F456" t="s">
        <v>1114</v>
      </c>
      <c r="H456" s="9">
        <v>46251</v>
      </c>
      <c r="J456" t="s">
        <v>27</v>
      </c>
      <c r="L456" t="s">
        <v>1115</v>
      </c>
      <c r="N456" t="s">
        <v>34</v>
      </c>
      <c r="P456" t="s">
        <v>64</v>
      </c>
      <c r="R456" t="s">
        <v>31</v>
      </c>
      <c r="T456" t="s">
        <v>94</v>
      </c>
      <c r="V456" t="s">
        <v>86</v>
      </c>
      <c r="X456" t="s">
        <v>86</v>
      </c>
      <c r="Z456" t="s">
        <v>64</v>
      </c>
      <c r="AB456" t="s">
        <v>35</v>
      </c>
      <c r="AD456" t="s">
        <v>87</v>
      </c>
      <c r="AF456" t="s">
        <v>1116</v>
      </c>
      <c r="AH456" t="s">
        <v>1173</v>
      </c>
      <c r="AJ456" t="s">
        <v>1174</v>
      </c>
      <c r="AL456">
        <v>630000</v>
      </c>
      <c r="AN456">
        <v>1</v>
      </c>
      <c r="AP456">
        <v>693000</v>
      </c>
      <c r="AR456">
        <v>693000</v>
      </c>
      <c r="AT456" t="s">
        <v>64</v>
      </c>
      <c r="AU456" t="str">
        <f t="shared" si="7"/>
        <v>Omset lainnya</v>
      </c>
    </row>
    <row r="457" spans="2:47" ht="23.1" customHeight="1">
      <c r="B457" s="9">
        <v>46252</v>
      </c>
      <c r="D457" t="s">
        <v>1161</v>
      </c>
      <c r="F457" t="s">
        <v>1162</v>
      </c>
      <c r="H457" s="9">
        <v>46252</v>
      </c>
      <c r="J457" t="s">
        <v>27</v>
      </c>
      <c r="L457" t="s">
        <v>1163</v>
      </c>
      <c r="N457" t="s">
        <v>1164</v>
      </c>
      <c r="P457" t="s">
        <v>57</v>
      </c>
      <c r="R457" t="s">
        <v>31</v>
      </c>
      <c r="T457" t="s">
        <v>32</v>
      </c>
      <c r="V457" t="s">
        <v>33</v>
      </c>
      <c r="X457" t="s">
        <v>33</v>
      </c>
      <c r="Z457" t="s">
        <v>57</v>
      </c>
      <c r="AB457" t="s">
        <v>268</v>
      </c>
      <c r="AD457" t="s">
        <v>87</v>
      </c>
      <c r="AF457" t="s">
        <v>1165</v>
      </c>
      <c r="AH457" t="s">
        <v>270</v>
      </c>
      <c r="AJ457" t="s">
        <v>271</v>
      </c>
      <c r="AL457">
        <v>0</v>
      </c>
      <c r="AN457">
        <v>1</v>
      </c>
      <c r="AP457">
        <v>45000</v>
      </c>
      <c r="AR457">
        <v>45000</v>
      </c>
      <c r="AU457" t="str">
        <f t="shared" si="7"/>
        <v>Omset Interface</v>
      </c>
    </row>
    <row r="458" spans="2:47" ht="23.1" customHeight="1">
      <c r="B458" s="9">
        <v>46252</v>
      </c>
      <c r="D458" t="s">
        <v>1161</v>
      </c>
      <c r="F458" t="s">
        <v>1162</v>
      </c>
      <c r="H458" s="9">
        <v>46252</v>
      </c>
      <c r="J458" t="s">
        <v>27</v>
      </c>
      <c r="L458" t="s">
        <v>1163</v>
      </c>
      <c r="N458" t="s">
        <v>1164</v>
      </c>
      <c r="P458" t="s">
        <v>57</v>
      </c>
      <c r="R458" t="s">
        <v>31</v>
      </c>
      <c r="T458" t="s">
        <v>41</v>
      </c>
      <c r="V458" t="s">
        <v>33</v>
      </c>
      <c r="X458" t="s">
        <v>33</v>
      </c>
      <c r="Z458" t="s">
        <v>57</v>
      </c>
      <c r="AB458" t="s">
        <v>268</v>
      </c>
      <c r="AD458" t="s">
        <v>87</v>
      </c>
      <c r="AF458" t="s">
        <v>1165</v>
      </c>
      <c r="AH458" t="s">
        <v>42</v>
      </c>
      <c r="AJ458" t="s">
        <v>43</v>
      </c>
      <c r="AL458">
        <v>17450</v>
      </c>
      <c r="AN458">
        <v>1</v>
      </c>
      <c r="AP458">
        <v>20000</v>
      </c>
      <c r="AR458">
        <v>20000</v>
      </c>
      <c r="AU458" t="str">
        <f t="shared" si="7"/>
        <v>Omset lainnya</v>
      </c>
    </row>
    <row r="459" spans="2:47" ht="23.1" customHeight="1">
      <c r="B459" s="9">
        <v>46252</v>
      </c>
      <c r="D459" t="s">
        <v>1011</v>
      </c>
      <c r="F459" t="s">
        <v>1012</v>
      </c>
      <c r="H459" s="9">
        <v>46252</v>
      </c>
      <c r="J459" t="s">
        <v>27</v>
      </c>
      <c r="L459" t="s">
        <v>1013</v>
      </c>
      <c r="N459" t="s">
        <v>1014</v>
      </c>
      <c r="P459" t="s">
        <v>64</v>
      </c>
      <c r="R459" t="s">
        <v>31</v>
      </c>
      <c r="T459" t="s">
        <v>94</v>
      </c>
      <c r="V459" t="s">
        <v>86</v>
      </c>
      <c r="X459" t="s">
        <v>86</v>
      </c>
      <c r="Z459" t="s">
        <v>64</v>
      </c>
      <c r="AB459" t="s">
        <v>35</v>
      </c>
      <c r="AD459" t="s">
        <v>112</v>
      </c>
      <c r="AF459" t="s">
        <v>1015</v>
      </c>
      <c r="AH459" t="s">
        <v>1175</v>
      </c>
      <c r="AJ459" t="s">
        <v>1176</v>
      </c>
      <c r="AL459">
        <v>136500</v>
      </c>
      <c r="AN459">
        <v>1</v>
      </c>
      <c r="AP459">
        <v>151000</v>
      </c>
      <c r="AR459">
        <v>151000</v>
      </c>
      <c r="AT459" t="s">
        <v>64</v>
      </c>
      <c r="AU459" t="str">
        <f t="shared" si="7"/>
        <v>Omset lainnya</v>
      </c>
    </row>
    <row r="460" spans="2:47" ht="23.1" customHeight="1">
      <c r="B460" s="9">
        <v>46254</v>
      </c>
      <c r="D460" t="s">
        <v>1177</v>
      </c>
      <c r="F460" t="s">
        <v>1178</v>
      </c>
      <c r="H460" s="9">
        <v>46253</v>
      </c>
      <c r="J460" t="s">
        <v>1091</v>
      </c>
      <c r="L460" t="s">
        <v>1179</v>
      </c>
      <c r="N460" t="s">
        <v>1180</v>
      </c>
      <c r="P460" t="s">
        <v>64</v>
      </c>
      <c r="R460" t="s">
        <v>31</v>
      </c>
      <c r="T460" t="s">
        <v>32</v>
      </c>
      <c r="X460" t="s">
        <v>49</v>
      </c>
      <c r="Z460" t="s">
        <v>57</v>
      </c>
      <c r="AB460" t="s">
        <v>35</v>
      </c>
      <c r="AD460" t="s">
        <v>50</v>
      </c>
      <c r="AF460" t="s">
        <v>1181</v>
      </c>
      <c r="AH460" t="s">
        <v>152</v>
      </c>
      <c r="AJ460" t="s">
        <v>153</v>
      </c>
      <c r="AL460">
        <v>0</v>
      </c>
      <c r="AN460">
        <v>1</v>
      </c>
      <c r="AP460">
        <v>24000</v>
      </c>
      <c r="AR460">
        <v>24000</v>
      </c>
      <c r="AT460" t="s">
        <v>64</v>
      </c>
      <c r="AU460" t="str">
        <f t="shared" si="7"/>
        <v>Omset lainnya</v>
      </c>
    </row>
    <row r="461" spans="2:47" ht="23.1" customHeight="1">
      <c r="B461" s="9">
        <v>46253</v>
      </c>
      <c r="D461" t="s">
        <v>248</v>
      </c>
      <c r="F461" t="s">
        <v>249</v>
      </c>
      <c r="H461" s="9">
        <v>46237</v>
      </c>
      <c r="J461" t="s">
        <v>27</v>
      </c>
      <c r="L461" t="s">
        <v>250</v>
      </c>
      <c r="N461" t="s">
        <v>251</v>
      </c>
      <c r="P461" t="s">
        <v>64</v>
      </c>
      <c r="R461" t="s">
        <v>31</v>
      </c>
      <c r="T461" t="s">
        <v>32</v>
      </c>
      <c r="V461" t="s">
        <v>127</v>
      </c>
      <c r="X461" t="s">
        <v>127</v>
      </c>
      <c r="Z461" t="s">
        <v>64</v>
      </c>
      <c r="AB461" t="s">
        <v>111</v>
      </c>
      <c r="AD461" t="s">
        <v>36</v>
      </c>
      <c r="AF461" t="s">
        <v>252</v>
      </c>
      <c r="AH461" t="s">
        <v>525</v>
      </c>
      <c r="AJ461" t="s">
        <v>526</v>
      </c>
      <c r="AL461">
        <v>0</v>
      </c>
      <c r="AN461">
        <v>1</v>
      </c>
      <c r="AP461">
        <v>10000</v>
      </c>
      <c r="AR461">
        <v>10000</v>
      </c>
      <c r="AU461" t="str">
        <f t="shared" si="7"/>
        <v>Omset Normal</v>
      </c>
    </row>
    <row r="462" spans="2:47" ht="23.1" customHeight="1">
      <c r="B462" s="9">
        <v>46253</v>
      </c>
      <c r="D462" t="s">
        <v>248</v>
      </c>
      <c r="F462" t="s">
        <v>249</v>
      </c>
      <c r="H462" s="9">
        <v>46237</v>
      </c>
      <c r="J462" t="s">
        <v>27</v>
      </c>
      <c r="L462" t="s">
        <v>250</v>
      </c>
      <c r="N462" t="s">
        <v>251</v>
      </c>
      <c r="P462" t="s">
        <v>64</v>
      </c>
      <c r="R462" t="s">
        <v>31</v>
      </c>
      <c r="T462" t="s">
        <v>32</v>
      </c>
      <c r="V462" t="s">
        <v>127</v>
      </c>
      <c r="X462" t="s">
        <v>127</v>
      </c>
      <c r="Z462" t="s">
        <v>64</v>
      </c>
      <c r="AB462" t="s">
        <v>111</v>
      </c>
      <c r="AD462" t="s">
        <v>36</v>
      </c>
      <c r="AF462" t="s">
        <v>252</v>
      </c>
      <c r="AH462" t="s">
        <v>114</v>
      </c>
      <c r="AJ462" t="s">
        <v>115</v>
      </c>
      <c r="AL462">
        <v>0</v>
      </c>
      <c r="AN462">
        <v>1</v>
      </c>
      <c r="AP462">
        <v>15000</v>
      </c>
      <c r="AR462">
        <v>15000</v>
      </c>
      <c r="AU462" t="str">
        <f t="shared" si="7"/>
        <v>Omset Normal</v>
      </c>
    </row>
    <row r="463" spans="2:47" ht="23.1" customHeight="1">
      <c r="B463" s="9">
        <v>46253</v>
      </c>
      <c r="D463" t="s">
        <v>248</v>
      </c>
      <c r="F463" t="s">
        <v>249</v>
      </c>
      <c r="H463" s="9">
        <v>46237</v>
      </c>
      <c r="J463" t="s">
        <v>27</v>
      </c>
      <c r="L463" t="s">
        <v>250</v>
      </c>
      <c r="N463" t="s">
        <v>251</v>
      </c>
      <c r="P463" t="s">
        <v>64</v>
      </c>
      <c r="R463" t="s">
        <v>31</v>
      </c>
      <c r="T463" t="s">
        <v>32</v>
      </c>
      <c r="V463" t="s">
        <v>127</v>
      </c>
      <c r="X463" t="s">
        <v>127</v>
      </c>
      <c r="Z463" t="s">
        <v>64</v>
      </c>
      <c r="AB463" t="s">
        <v>111</v>
      </c>
      <c r="AD463" t="s">
        <v>36</v>
      </c>
      <c r="AF463" t="s">
        <v>252</v>
      </c>
      <c r="AH463" t="s">
        <v>826</v>
      </c>
      <c r="AJ463" t="s">
        <v>827</v>
      </c>
      <c r="AL463">
        <v>0</v>
      </c>
      <c r="AN463">
        <v>1</v>
      </c>
      <c r="AP463">
        <v>10000</v>
      </c>
      <c r="AR463">
        <v>10000</v>
      </c>
      <c r="AU463" t="str">
        <f t="shared" si="7"/>
        <v>Omset Normal</v>
      </c>
    </row>
    <row r="464" spans="2:47" ht="23.1" customHeight="1">
      <c r="B464" s="9">
        <v>46253</v>
      </c>
      <c r="D464" t="s">
        <v>1140</v>
      </c>
      <c r="F464" t="s">
        <v>1141</v>
      </c>
      <c r="H464" s="9">
        <v>46250</v>
      </c>
      <c r="J464" t="s">
        <v>27</v>
      </c>
      <c r="L464" t="s">
        <v>1142</v>
      </c>
      <c r="N464" t="s">
        <v>1143</v>
      </c>
      <c r="P464" t="s">
        <v>64</v>
      </c>
      <c r="R464" t="s">
        <v>31</v>
      </c>
      <c r="T464" t="s">
        <v>32</v>
      </c>
      <c r="V464" t="s">
        <v>127</v>
      </c>
      <c r="X464" t="s">
        <v>127</v>
      </c>
      <c r="Z464" t="s">
        <v>57</v>
      </c>
      <c r="AB464" t="s">
        <v>35</v>
      </c>
      <c r="AD464" t="s">
        <v>65</v>
      </c>
      <c r="AF464" t="s">
        <v>1144</v>
      </c>
      <c r="AH464" t="s">
        <v>38</v>
      </c>
      <c r="AJ464" t="s">
        <v>39</v>
      </c>
      <c r="AL464">
        <v>0</v>
      </c>
      <c r="AN464">
        <v>1</v>
      </c>
      <c r="AP464">
        <v>100000</v>
      </c>
      <c r="AR464">
        <v>100000</v>
      </c>
      <c r="AT464" t="s">
        <v>64</v>
      </c>
      <c r="AU464" t="str">
        <f t="shared" si="7"/>
        <v>Omset Interface</v>
      </c>
    </row>
    <row r="465" spans="2:47" ht="23.1" customHeight="1">
      <c r="B465" s="9">
        <v>46253</v>
      </c>
      <c r="D465" t="s">
        <v>1140</v>
      </c>
      <c r="F465" t="s">
        <v>1141</v>
      </c>
      <c r="H465" s="9">
        <v>46250</v>
      </c>
      <c r="J465" t="s">
        <v>27</v>
      </c>
      <c r="L465" t="s">
        <v>1142</v>
      </c>
      <c r="N465" t="s">
        <v>1143</v>
      </c>
      <c r="P465" t="s">
        <v>64</v>
      </c>
      <c r="R465" t="s">
        <v>31</v>
      </c>
      <c r="T465" t="s">
        <v>41</v>
      </c>
      <c r="V465" t="s">
        <v>127</v>
      </c>
      <c r="X465" t="s">
        <v>127</v>
      </c>
      <c r="Z465" t="s">
        <v>57</v>
      </c>
      <c r="AB465" t="s">
        <v>35</v>
      </c>
      <c r="AD465" t="s">
        <v>65</v>
      </c>
      <c r="AF465" t="s">
        <v>1144</v>
      </c>
      <c r="AH465" t="s">
        <v>42</v>
      </c>
      <c r="AJ465" t="s">
        <v>43</v>
      </c>
      <c r="AL465">
        <v>17450</v>
      </c>
      <c r="AN465">
        <v>1</v>
      </c>
      <c r="AP465">
        <v>20000</v>
      </c>
      <c r="AR465">
        <v>20000</v>
      </c>
      <c r="AT465" t="s">
        <v>64</v>
      </c>
      <c r="AU465" t="str">
        <f t="shared" si="7"/>
        <v>Omset lainnya</v>
      </c>
    </row>
    <row r="466" spans="2:47" ht="23.1" customHeight="1">
      <c r="B466" s="9">
        <v>46253</v>
      </c>
      <c r="D466" t="s">
        <v>1182</v>
      </c>
      <c r="F466" t="s">
        <v>1183</v>
      </c>
      <c r="H466" s="9">
        <v>46253</v>
      </c>
      <c r="J466" t="s">
        <v>27</v>
      </c>
      <c r="L466" t="s">
        <v>1184</v>
      </c>
      <c r="N466" t="s">
        <v>1185</v>
      </c>
      <c r="P466" t="s">
        <v>57</v>
      </c>
      <c r="R466" t="s">
        <v>31</v>
      </c>
      <c r="T466" t="s">
        <v>32</v>
      </c>
      <c r="V466" t="s">
        <v>49</v>
      </c>
      <c r="X466" t="s">
        <v>49</v>
      </c>
      <c r="Z466" t="s">
        <v>57</v>
      </c>
      <c r="AB466" t="s">
        <v>824</v>
      </c>
      <c r="AD466" t="s">
        <v>87</v>
      </c>
      <c r="AF466" t="s">
        <v>805</v>
      </c>
      <c r="AH466" t="s">
        <v>826</v>
      </c>
      <c r="AJ466" t="s">
        <v>827</v>
      </c>
      <c r="AL466">
        <v>0</v>
      </c>
      <c r="AN466">
        <v>1</v>
      </c>
      <c r="AP466">
        <v>200000</v>
      </c>
      <c r="AR466">
        <v>200000</v>
      </c>
      <c r="AT466" t="s">
        <v>57</v>
      </c>
      <c r="AU466" t="str">
        <f t="shared" si="7"/>
        <v>Omset Normal</v>
      </c>
    </row>
    <row r="467" spans="2:47" ht="23.1" customHeight="1">
      <c r="B467" s="9">
        <v>46253</v>
      </c>
      <c r="D467" t="s">
        <v>1182</v>
      </c>
      <c r="F467" t="s">
        <v>1183</v>
      </c>
      <c r="H467" s="9">
        <v>46253</v>
      </c>
      <c r="J467" t="s">
        <v>27</v>
      </c>
      <c r="L467" t="s">
        <v>1184</v>
      </c>
      <c r="N467" t="s">
        <v>1185</v>
      </c>
      <c r="P467" t="s">
        <v>57</v>
      </c>
      <c r="R467" t="s">
        <v>31</v>
      </c>
      <c r="T467" t="s">
        <v>41</v>
      </c>
      <c r="V467" t="s">
        <v>49</v>
      </c>
      <c r="X467" t="s">
        <v>49</v>
      </c>
      <c r="Z467" t="s">
        <v>57</v>
      </c>
      <c r="AB467" t="s">
        <v>824</v>
      </c>
      <c r="AD467" t="s">
        <v>87</v>
      </c>
      <c r="AF467" t="s">
        <v>805</v>
      </c>
      <c r="AH467" t="s">
        <v>296</v>
      </c>
      <c r="AJ467" t="s">
        <v>297</v>
      </c>
      <c r="AL467">
        <v>19300</v>
      </c>
      <c r="AN467">
        <v>1</v>
      </c>
      <c r="AP467">
        <v>20000</v>
      </c>
      <c r="AR467">
        <v>20000</v>
      </c>
      <c r="AT467" t="s">
        <v>57</v>
      </c>
      <c r="AU467" t="str">
        <f t="shared" si="7"/>
        <v>Omset lainnya</v>
      </c>
    </row>
    <row r="468" spans="2:47" ht="23.1" customHeight="1">
      <c r="B468" s="9">
        <v>46253</v>
      </c>
      <c r="D468" t="s">
        <v>1182</v>
      </c>
      <c r="F468" t="s">
        <v>1183</v>
      </c>
      <c r="H468" s="9">
        <v>46253</v>
      </c>
      <c r="J468" t="s">
        <v>27</v>
      </c>
      <c r="L468" t="s">
        <v>1184</v>
      </c>
      <c r="N468" t="s">
        <v>1185</v>
      </c>
      <c r="P468" t="s">
        <v>57</v>
      </c>
      <c r="R468" t="s">
        <v>31</v>
      </c>
      <c r="T468" t="s">
        <v>94</v>
      </c>
      <c r="V468" t="s">
        <v>49</v>
      </c>
      <c r="X468" t="s">
        <v>49</v>
      </c>
      <c r="Z468" t="s">
        <v>57</v>
      </c>
      <c r="AB468" t="s">
        <v>824</v>
      </c>
      <c r="AD468" t="s">
        <v>87</v>
      </c>
      <c r="AF468" t="s">
        <v>805</v>
      </c>
      <c r="AH468" t="s">
        <v>1186</v>
      </c>
      <c r="AJ468" t="s">
        <v>1187</v>
      </c>
      <c r="AL468">
        <v>300000</v>
      </c>
      <c r="AN468">
        <v>1</v>
      </c>
      <c r="AP468">
        <v>330000</v>
      </c>
      <c r="AR468">
        <v>330000</v>
      </c>
      <c r="AT468" t="s">
        <v>57</v>
      </c>
      <c r="AU468" t="str">
        <f t="shared" si="7"/>
        <v>Omset lainnya</v>
      </c>
    </row>
    <row r="469" spans="2:47" ht="23.1" customHeight="1">
      <c r="B469" s="9">
        <v>46253</v>
      </c>
      <c r="D469" t="s">
        <v>1168</v>
      </c>
      <c r="F469" t="s">
        <v>1169</v>
      </c>
      <c r="H469" s="9">
        <v>46253</v>
      </c>
      <c r="J469" t="s">
        <v>27</v>
      </c>
      <c r="L469" t="s">
        <v>1170</v>
      </c>
      <c r="N469" t="s">
        <v>1105</v>
      </c>
      <c r="P469" t="s">
        <v>57</v>
      </c>
      <c r="R469" t="s">
        <v>31</v>
      </c>
      <c r="T469" t="s">
        <v>41</v>
      </c>
      <c r="V469" t="s">
        <v>33</v>
      </c>
      <c r="X469" t="s">
        <v>86</v>
      </c>
      <c r="Z469" t="s">
        <v>57</v>
      </c>
      <c r="AB469" t="s">
        <v>35</v>
      </c>
      <c r="AD469" t="s">
        <v>36</v>
      </c>
      <c r="AF469" t="s">
        <v>537</v>
      </c>
      <c r="AH469" t="s">
        <v>42</v>
      </c>
      <c r="AJ469" t="s">
        <v>43</v>
      </c>
      <c r="AL469">
        <v>17450</v>
      </c>
      <c r="AN469">
        <v>1</v>
      </c>
      <c r="AP469">
        <v>20000</v>
      </c>
      <c r="AR469">
        <v>20000</v>
      </c>
      <c r="AT469" t="s">
        <v>57</v>
      </c>
      <c r="AU469" t="str">
        <f t="shared" si="7"/>
        <v>Omset lainnya</v>
      </c>
    </row>
    <row r="470" spans="2:47" ht="23.1" customHeight="1">
      <c r="B470" s="9">
        <v>46253</v>
      </c>
      <c r="D470" t="s">
        <v>1168</v>
      </c>
      <c r="F470" t="s">
        <v>1169</v>
      </c>
      <c r="H470" s="9">
        <v>46253</v>
      </c>
      <c r="J470" t="s">
        <v>27</v>
      </c>
      <c r="L470" t="s">
        <v>1170</v>
      </c>
      <c r="N470" t="s">
        <v>1105</v>
      </c>
      <c r="P470" t="s">
        <v>57</v>
      </c>
      <c r="R470" t="s">
        <v>31</v>
      </c>
      <c r="T470" t="s">
        <v>41</v>
      </c>
      <c r="V470" t="s">
        <v>33</v>
      </c>
      <c r="X470" t="s">
        <v>86</v>
      </c>
      <c r="Z470" t="s">
        <v>57</v>
      </c>
      <c r="AB470" t="s">
        <v>35</v>
      </c>
      <c r="AD470" t="s">
        <v>36</v>
      </c>
      <c r="AF470" t="s">
        <v>537</v>
      </c>
      <c r="AH470" t="s">
        <v>315</v>
      </c>
      <c r="AJ470" t="s">
        <v>316</v>
      </c>
      <c r="AL470">
        <v>13943</v>
      </c>
      <c r="AN470">
        <v>1</v>
      </c>
      <c r="AP470">
        <v>20000</v>
      </c>
      <c r="AR470">
        <v>20000</v>
      </c>
      <c r="AT470" t="s">
        <v>57</v>
      </c>
      <c r="AU470" t="str">
        <f t="shared" si="7"/>
        <v>Omset lainnya</v>
      </c>
    </row>
    <row r="471" spans="2:47" ht="23.1" customHeight="1">
      <c r="B471" s="9">
        <v>46253</v>
      </c>
      <c r="D471" t="s">
        <v>1188</v>
      </c>
      <c r="F471" t="s">
        <v>1189</v>
      </c>
      <c r="H471" s="9">
        <v>46253</v>
      </c>
      <c r="J471" t="s">
        <v>54</v>
      </c>
      <c r="L471" t="s">
        <v>227</v>
      </c>
      <c r="N471" t="s">
        <v>185</v>
      </c>
      <c r="P471" t="s">
        <v>77</v>
      </c>
      <c r="R471" t="s">
        <v>31</v>
      </c>
      <c r="T471" t="s">
        <v>32</v>
      </c>
      <c r="V471" t="s">
        <v>86</v>
      </c>
      <c r="X471" t="s">
        <v>86</v>
      </c>
      <c r="Z471" t="s">
        <v>77</v>
      </c>
      <c r="AB471" t="s">
        <v>1190</v>
      </c>
      <c r="AD471" t="s">
        <v>87</v>
      </c>
      <c r="AF471" t="s">
        <v>615</v>
      </c>
      <c r="AH471" t="s">
        <v>236</v>
      </c>
      <c r="AJ471" t="s">
        <v>237</v>
      </c>
      <c r="AL471">
        <v>0</v>
      </c>
      <c r="AN471">
        <v>1</v>
      </c>
      <c r="AP471">
        <v>182000</v>
      </c>
      <c r="AR471">
        <v>182000</v>
      </c>
      <c r="AU471" t="str">
        <f t="shared" si="7"/>
        <v>Omset Normal</v>
      </c>
    </row>
    <row r="472" spans="2:47" ht="23.1" customHeight="1">
      <c r="B472" s="9">
        <v>46253</v>
      </c>
      <c r="D472" t="s">
        <v>1188</v>
      </c>
      <c r="F472" t="s">
        <v>1189</v>
      </c>
      <c r="H472" s="9">
        <v>46253</v>
      </c>
      <c r="J472" t="s">
        <v>54</v>
      </c>
      <c r="L472" t="s">
        <v>227</v>
      </c>
      <c r="N472" t="s">
        <v>185</v>
      </c>
      <c r="P472" t="s">
        <v>77</v>
      </c>
      <c r="R472" t="s">
        <v>31</v>
      </c>
      <c r="T472" t="s">
        <v>41</v>
      </c>
      <c r="V472" t="s">
        <v>86</v>
      </c>
      <c r="X472" t="s">
        <v>86</v>
      </c>
      <c r="Z472" t="s">
        <v>77</v>
      </c>
      <c r="AB472" t="s">
        <v>1190</v>
      </c>
      <c r="AD472" t="s">
        <v>87</v>
      </c>
      <c r="AF472" t="s">
        <v>615</v>
      </c>
      <c r="AH472" t="s">
        <v>296</v>
      </c>
      <c r="AJ472" t="s">
        <v>297</v>
      </c>
      <c r="AL472">
        <v>19300</v>
      </c>
      <c r="AN472">
        <v>1</v>
      </c>
      <c r="AP472">
        <v>20000</v>
      </c>
      <c r="AR472">
        <v>20000</v>
      </c>
      <c r="AU472" t="str">
        <f t="shared" si="7"/>
        <v>Omset lainnya</v>
      </c>
    </row>
    <row r="473" spans="2:47" ht="23.1" customHeight="1">
      <c r="B473" s="9">
        <v>46253</v>
      </c>
      <c r="D473" t="s">
        <v>1140</v>
      </c>
      <c r="F473" t="s">
        <v>1141</v>
      </c>
      <c r="H473" s="9">
        <v>46250</v>
      </c>
      <c r="J473" t="s">
        <v>27</v>
      </c>
      <c r="L473" t="s">
        <v>1142</v>
      </c>
      <c r="N473" t="s">
        <v>1143</v>
      </c>
      <c r="P473" t="s">
        <v>64</v>
      </c>
      <c r="R473" t="s">
        <v>31</v>
      </c>
      <c r="T473" t="s">
        <v>41</v>
      </c>
      <c r="V473" t="s">
        <v>127</v>
      </c>
      <c r="X473" t="s">
        <v>127</v>
      </c>
      <c r="Z473" t="s">
        <v>57</v>
      </c>
      <c r="AB473" t="s">
        <v>35</v>
      </c>
      <c r="AD473" t="s">
        <v>65</v>
      </c>
      <c r="AF473" t="s">
        <v>1144</v>
      </c>
      <c r="AH473" t="s">
        <v>315</v>
      </c>
      <c r="AJ473" t="s">
        <v>316</v>
      </c>
      <c r="AL473">
        <v>13943</v>
      </c>
      <c r="AN473">
        <v>1</v>
      </c>
      <c r="AP473">
        <v>20000</v>
      </c>
      <c r="AR473">
        <v>20000</v>
      </c>
      <c r="AT473" t="s">
        <v>64</v>
      </c>
      <c r="AU473" t="str">
        <f t="shared" si="7"/>
        <v>Omset lainnya</v>
      </c>
    </row>
    <row r="474" spans="2:47" ht="23.1" customHeight="1">
      <c r="B474" s="9">
        <v>46253</v>
      </c>
      <c r="D474" t="s">
        <v>719</v>
      </c>
      <c r="F474" t="s">
        <v>720</v>
      </c>
      <c r="H474" s="9">
        <v>46244</v>
      </c>
      <c r="J474" t="s">
        <v>27</v>
      </c>
      <c r="L474" t="s">
        <v>721</v>
      </c>
      <c r="N474" t="s">
        <v>722</v>
      </c>
      <c r="P474" t="s">
        <v>57</v>
      </c>
      <c r="R474" t="s">
        <v>31</v>
      </c>
      <c r="T474" t="s">
        <v>32</v>
      </c>
      <c r="V474" t="s">
        <v>86</v>
      </c>
      <c r="X474" t="s">
        <v>86</v>
      </c>
      <c r="Z474" t="s">
        <v>57</v>
      </c>
      <c r="AB474" t="s">
        <v>95</v>
      </c>
      <c r="AD474" t="s">
        <v>65</v>
      </c>
      <c r="AF474" t="s">
        <v>723</v>
      </c>
      <c r="AH474" t="s">
        <v>1044</v>
      </c>
      <c r="AJ474" t="s">
        <v>1045</v>
      </c>
      <c r="AL474">
        <v>0</v>
      </c>
      <c r="AN474">
        <v>1</v>
      </c>
      <c r="AP474">
        <v>70000</v>
      </c>
      <c r="AR474">
        <v>70000</v>
      </c>
      <c r="AU474" t="str">
        <f t="shared" si="7"/>
        <v>Omset Interface</v>
      </c>
    </row>
    <row r="475" spans="2:47" ht="23.1" customHeight="1">
      <c r="B475" s="9">
        <v>46253</v>
      </c>
      <c r="D475" t="s">
        <v>719</v>
      </c>
      <c r="F475" t="s">
        <v>720</v>
      </c>
      <c r="H475" s="9">
        <v>46244</v>
      </c>
      <c r="J475" t="s">
        <v>27</v>
      </c>
      <c r="L475" t="s">
        <v>721</v>
      </c>
      <c r="N475" t="s">
        <v>722</v>
      </c>
      <c r="P475" t="s">
        <v>57</v>
      </c>
      <c r="R475" t="s">
        <v>31</v>
      </c>
      <c r="T475" t="s">
        <v>32</v>
      </c>
      <c r="V475" t="s">
        <v>86</v>
      </c>
      <c r="X475" t="s">
        <v>86</v>
      </c>
      <c r="Z475" t="s">
        <v>57</v>
      </c>
      <c r="AB475" t="s">
        <v>95</v>
      </c>
      <c r="AD475" t="s">
        <v>65</v>
      </c>
      <c r="AF475" t="s">
        <v>723</v>
      </c>
      <c r="AH475" t="s">
        <v>585</v>
      </c>
      <c r="AJ475" t="s">
        <v>586</v>
      </c>
      <c r="AL475">
        <v>0</v>
      </c>
      <c r="AN475">
        <v>1</v>
      </c>
      <c r="AP475">
        <v>510000</v>
      </c>
      <c r="AR475">
        <v>510000</v>
      </c>
      <c r="AU475" t="str">
        <f t="shared" si="7"/>
        <v>Omset Mati Total</v>
      </c>
    </row>
    <row r="476" spans="2:47" ht="23.1" customHeight="1">
      <c r="B476" s="9">
        <v>46253</v>
      </c>
      <c r="D476" t="s">
        <v>1036</v>
      </c>
      <c r="F476" t="s">
        <v>1037</v>
      </c>
      <c r="H476" s="9">
        <v>46250</v>
      </c>
      <c r="J476" t="s">
        <v>27</v>
      </c>
      <c r="L476" t="s">
        <v>139</v>
      </c>
      <c r="N476" t="s">
        <v>140</v>
      </c>
      <c r="P476" t="s">
        <v>64</v>
      </c>
      <c r="R476" t="s">
        <v>31</v>
      </c>
      <c r="T476" t="s">
        <v>94</v>
      </c>
      <c r="V476" t="s">
        <v>86</v>
      </c>
      <c r="X476" t="s">
        <v>86</v>
      </c>
      <c r="Z476" t="s">
        <v>77</v>
      </c>
      <c r="AB476" t="s">
        <v>692</v>
      </c>
      <c r="AD476" t="s">
        <v>87</v>
      </c>
      <c r="AF476" t="s">
        <v>610</v>
      </c>
      <c r="AH476" t="s">
        <v>1191</v>
      </c>
      <c r="AJ476" t="s">
        <v>1192</v>
      </c>
      <c r="AL476">
        <v>95000</v>
      </c>
      <c r="AN476">
        <v>1</v>
      </c>
      <c r="AP476">
        <v>96000</v>
      </c>
      <c r="AR476">
        <v>96000</v>
      </c>
      <c r="AU476" t="str">
        <f t="shared" si="7"/>
        <v>Omset lainnya</v>
      </c>
    </row>
    <row r="477" spans="2:47" ht="23.1" customHeight="1">
      <c r="B477" s="9">
        <v>46253</v>
      </c>
      <c r="D477" t="s">
        <v>1036</v>
      </c>
      <c r="F477" t="s">
        <v>1037</v>
      </c>
      <c r="H477" s="9">
        <v>46250</v>
      </c>
      <c r="J477" t="s">
        <v>27</v>
      </c>
      <c r="L477" t="s">
        <v>139</v>
      </c>
      <c r="N477" t="s">
        <v>140</v>
      </c>
      <c r="P477" t="s">
        <v>64</v>
      </c>
      <c r="R477" t="s">
        <v>31</v>
      </c>
      <c r="T477" t="s">
        <v>94</v>
      </c>
      <c r="V477" t="s">
        <v>86</v>
      </c>
      <c r="X477" t="s">
        <v>86</v>
      </c>
      <c r="Z477" t="s">
        <v>77</v>
      </c>
      <c r="AB477" t="s">
        <v>692</v>
      </c>
      <c r="AD477" t="s">
        <v>87</v>
      </c>
      <c r="AF477" t="s">
        <v>610</v>
      </c>
      <c r="AH477" t="s">
        <v>1193</v>
      </c>
      <c r="AJ477" t="s">
        <v>1194</v>
      </c>
      <c r="AL477">
        <v>67975</v>
      </c>
      <c r="AN477">
        <v>1</v>
      </c>
      <c r="AP477">
        <v>68000</v>
      </c>
      <c r="AR477">
        <v>68000</v>
      </c>
      <c r="AU477" t="str">
        <f t="shared" si="7"/>
        <v>Omset lainnya</v>
      </c>
    </row>
    <row r="478" spans="2:47" ht="23.1" customHeight="1">
      <c r="B478" s="9">
        <v>46254</v>
      </c>
      <c r="D478" t="s">
        <v>1195</v>
      </c>
      <c r="F478" t="s">
        <v>1196</v>
      </c>
      <c r="H478" s="9">
        <v>46254</v>
      </c>
      <c r="J478" t="s">
        <v>27</v>
      </c>
      <c r="L478" t="s">
        <v>1197</v>
      </c>
      <c r="N478" t="s">
        <v>1198</v>
      </c>
      <c r="P478" t="s">
        <v>77</v>
      </c>
      <c r="R478" t="s">
        <v>31</v>
      </c>
      <c r="T478" t="s">
        <v>32</v>
      </c>
      <c r="V478" t="s">
        <v>49</v>
      </c>
      <c r="X478" t="s">
        <v>49</v>
      </c>
      <c r="Z478" t="s">
        <v>77</v>
      </c>
      <c r="AB478" t="s">
        <v>35</v>
      </c>
      <c r="AD478" t="s">
        <v>87</v>
      </c>
      <c r="AF478" t="s">
        <v>805</v>
      </c>
      <c r="AH478" t="s">
        <v>38</v>
      </c>
      <c r="AJ478" t="s">
        <v>39</v>
      </c>
      <c r="AL478">
        <v>0</v>
      </c>
      <c r="AN478">
        <v>1</v>
      </c>
      <c r="AP478">
        <v>148000</v>
      </c>
      <c r="AR478">
        <v>148000</v>
      </c>
      <c r="AU478" t="str">
        <f t="shared" si="7"/>
        <v>Omset Interface</v>
      </c>
    </row>
    <row r="479" spans="2:47" ht="23.1" customHeight="1">
      <c r="B479" s="9">
        <v>46254</v>
      </c>
      <c r="D479" t="s">
        <v>1195</v>
      </c>
      <c r="F479" t="s">
        <v>1196</v>
      </c>
      <c r="H479" s="9">
        <v>46254</v>
      </c>
      <c r="J479" t="s">
        <v>27</v>
      </c>
      <c r="L479" t="s">
        <v>1197</v>
      </c>
      <c r="N479" t="s">
        <v>1198</v>
      </c>
      <c r="P479" t="s">
        <v>77</v>
      </c>
      <c r="R479" t="s">
        <v>31</v>
      </c>
      <c r="T479" t="s">
        <v>41</v>
      </c>
      <c r="V479" t="s">
        <v>49</v>
      </c>
      <c r="X479" t="s">
        <v>49</v>
      </c>
      <c r="Z479" t="s">
        <v>77</v>
      </c>
      <c r="AB479" t="s">
        <v>35</v>
      </c>
      <c r="AD479" t="s">
        <v>87</v>
      </c>
      <c r="AF479" t="s">
        <v>805</v>
      </c>
      <c r="AH479" t="s">
        <v>296</v>
      </c>
      <c r="AJ479" t="s">
        <v>297</v>
      </c>
      <c r="AL479">
        <v>19300</v>
      </c>
      <c r="AN479">
        <v>1</v>
      </c>
      <c r="AP479">
        <v>20000</v>
      </c>
      <c r="AR479">
        <v>20000</v>
      </c>
      <c r="AU479" t="str">
        <f t="shared" si="7"/>
        <v>Omset lainnya</v>
      </c>
    </row>
    <row r="480" spans="2:47" ht="23.1" customHeight="1">
      <c r="B480" s="9">
        <v>46254</v>
      </c>
      <c r="D480" t="s">
        <v>1199</v>
      </c>
      <c r="F480" t="s">
        <v>1200</v>
      </c>
      <c r="H480" s="9">
        <v>46254</v>
      </c>
      <c r="J480" t="s">
        <v>27</v>
      </c>
      <c r="L480" t="s">
        <v>1201</v>
      </c>
      <c r="N480" t="s">
        <v>722</v>
      </c>
      <c r="P480" t="s">
        <v>77</v>
      </c>
      <c r="R480" t="s">
        <v>31</v>
      </c>
      <c r="T480" t="s">
        <v>32</v>
      </c>
      <c r="V480" t="s">
        <v>86</v>
      </c>
      <c r="X480" t="s">
        <v>86</v>
      </c>
      <c r="Z480" t="s">
        <v>77</v>
      </c>
      <c r="AB480" t="s">
        <v>35</v>
      </c>
      <c r="AD480" t="s">
        <v>87</v>
      </c>
      <c r="AF480" t="s">
        <v>1202</v>
      </c>
      <c r="AH480" t="s">
        <v>38</v>
      </c>
      <c r="AJ480" t="s">
        <v>39</v>
      </c>
      <c r="AL480">
        <v>0</v>
      </c>
      <c r="AN480">
        <v>1</v>
      </c>
      <c r="AP480">
        <v>118000</v>
      </c>
      <c r="AR480">
        <v>118000</v>
      </c>
      <c r="AU480" t="str">
        <f t="shared" si="7"/>
        <v>Omset Interface</v>
      </c>
    </row>
    <row r="481" spans="2:47" ht="23.1" customHeight="1">
      <c r="B481" s="9">
        <v>46254</v>
      </c>
      <c r="D481" t="s">
        <v>1199</v>
      </c>
      <c r="F481" t="s">
        <v>1200</v>
      </c>
      <c r="H481" s="9">
        <v>46254</v>
      </c>
      <c r="J481" t="s">
        <v>27</v>
      </c>
      <c r="L481" t="s">
        <v>1201</v>
      </c>
      <c r="N481" t="s">
        <v>722</v>
      </c>
      <c r="P481" t="s">
        <v>77</v>
      </c>
      <c r="R481" t="s">
        <v>31</v>
      </c>
      <c r="T481" t="s">
        <v>41</v>
      </c>
      <c r="V481" t="s">
        <v>86</v>
      </c>
      <c r="X481" t="s">
        <v>86</v>
      </c>
      <c r="Z481" t="s">
        <v>77</v>
      </c>
      <c r="AB481" t="s">
        <v>35</v>
      </c>
      <c r="AD481" t="s">
        <v>87</v>
      </c>
      <c r="AF481" t="s">
        <v>1202</v>
      </c>
      <c r="AH481" t="s">
        <v>296</v>
      </c>
      <c r="AJ481" t="s">
        <v>297</v>
      </c>
      <c r="AL481">
        <v>19300</v>
      </c>
      <c r="AN481">
        <v>1</v>
      </c>
      <c r="AP481">
        <v>20000</v>
      </c>
      <c r="AR481">
        <v>20000</v>
      </c>
      <c r="AU481" t="str">
        <f t="shared" si="7"/>
        <v>Omset lainnya</v>
      </c>
    </row>
    <row r="482" spans="2:47" ht="23.1" customHeight="1">
      <c r="B482" s="9">
        <v>46253</v>
      </c>
      <c r="D482" t="s">
        <v>1031</v>
      </c>
      <c r="F482" t="s">
        <v>1032</v>
      </c>
      <c r="H482" s="9">
        <v>46253</v>
      </c>
      <c r="J482" t="s">
        <v>27</v>
      </c>
      <c r="L482" t="s">
        <v>1033</v>
      </c>
      <c r="N482" t="s">
        <v>1034</v>
      </c>
      <c r="P482" t="s">
        <v>77</v>
      </c>
      <c r="R482" t="s">
        <v>31</v>
      </c>
      <c r="T482" t="s">
        <v>94</v>
      </c>
      <c r="V482" t="s">
        <v>127</v>
      </c>
      <c r="X482" t="s">
        <v>127</v>
      </c>
      <c r="Z482" t="s">
        <v>77</v>
      </c>
      <c r="AB482" t="s">
        <v>35</v>
      </c>
      <c r="AD482" t="s">
        <v>36</v>
      </c>
      <c r="AF482" t="s">
        <v>1035</v>
      </c>
      <c r="AH482" t="s">
        <v>1203</v>
      </c>
      <c r="AJ482" t="s">
        <v>1204</v>
      </c>
      <c r="AL482">
        <v>132500</v>
      </c>
      <c r="AN482">
        <v>1</v>
      </c>
      <c r="AP482">
        <v>147000</v>
      </c>
      <c r="AR482">
        <v>147000</v>
      </c>
      <c r="AT482" t="s">
        <v>77</v>
      </c>
      <c r="AU482" t="str">
        <f t="shared" si="7"/>
        <v>Omset lainnya</v>
      </c>
    </row>
    <row r="483" spans="2:47" ht="23.1" customHeight="1">
      <c r="B483" s="9">
        <v>46253</v>
      </c>
      <c r="D483" t="s">
        <v>719</v>
      </c>
      <c r="F483" t="s">
        <v>720</v>
      </c>
      <c r="H483" s="9">
        <v>46244</v>
      </c>
      <c r="J483" t="s">
        <v>27</v>
      </c>
      <c r="L483" t="s">
        <v>721</v>
      </c>
      <c r="N483" t="s">
        <v>722</v>
      </c>
      <c r="P483" t="s">
        <v>57</v>
      </c>
      <c r="R483" t="s">
        <v>31</v>
      </c>
      <c r="T483" t="s">
        <v>41</v>
      </c>
      <c r="V483" t="s">
        <v>86</v>
      </c>
      <c r="X483" t="s">
        <v>86</v>
      </c>
      <c r="Z483" t="s">
        <v>57</v>
      </c>
      <c r="AB483" t="s">
        <v>95</v>
      </c>
      <c r="AD483" t="s">
        <v>65</v>
      </c>
      <c r="AF483" t="s">
        <v>723</v>
      </c>
      <c r="AH483" t="s">
        <v>42</v>
      </c>
      <c r="AJ483" t="s">
        <v>43</v>
      </c>
      <c r="AL483">
        <v>17450</v>
      </c>
      <c r="AN483">
        <v>1</v>
      </c>
      <c r="AP483">
        <v>20000</v>
      </c>
      <c r="AR483">
        <v>20000</v>
      </c>
      <c r="AU483" t="str">
        <f t="shared" si="7"/>
        <v>Omset lainnya</v>
      </c>
    </row>
    <row r="484" spans="2:47" ht="23.1" customHeight="1">
      <c r="B484" s="9">
        <v>46253</v>
      </c>
      <c r="D484" t="s">
        <v>1188</v>
      </c>
      <c r="F484" t="s">
        <v>1189</v>
      </c>
      <c r="H484" s="9">
        <v>46253</v>
      </c>
      <c r="J484" t="s">
        <v>54</v>
      </c>
      <c r="L484" t="s">
        <v>227</v>
      </c>
      <c r="N484" t="s">
        <v>185</v>
      </c>
      <c r="P484" t="s">
        <v>77</v>
      </c>
      <c r="R484" t="s">
        <v>31</v>
      </c>
      <c r="T484" t="s">
        <v>94</v>
      </c>
      <c r="V484" t="s">
        <v>86</v>
      </c>
      <c r="X484" t="s">
        <v>86</v>
      </c>
      <c r="Z484" t="s">
        <v>77</v>
      </c>
      <c r="AB484" t="s">
        <v>1190</v>
      </c>
      <c r="AD484" t="s">
        <v>87</v>
      </c>
      <c r="AF484" t="s">
        <v>615</v>
      </c>
      <c r="AH484" t="s">
        <v>1205</v>
      </c>
      <c r="AJ484" t="s">
        <v>1206</v>
      </c>
      <c r="AL484">
        <v>43000</v>
      </c>
      <c r="AN484">
        <v>1</v>
      </c>
      <c r="AP484">
        <v>48000</v>
      </c>
      <c r="AR484">
        <v>48000</v>
      </c>
      <c r="AU484" t="str">
        <f t="shared" si="7"/>
        <v>Omset lainnya</v>
      </c>
    </row>
    <row r="485" spans="2:47" ht="23.1" customHeight="1">
      <c r="B485" s="9">
        <v>46253</v>
      </c>
      <c r="D485" t="s">
        <v>1168</v>
      </c>
      <c r="F485" t="s">
        <v>1169</v>
      </c>
      <c r="H485" s="9">
        <v>46253</v>
      </c>
      <c r="J485" t="s">
        <v>27</v>
      </c>
      <c r="L485" t="s">
        <v>1170</v>
      </c>
      <c r="N485" t="s">
        <v>1105</v>
      </c>
      <c r="P485" t="s">
        <v>57</v>
      </c>
      <c r="R485" t="s">
        <v>31</v>
      </c>
      <c r="T485" t="s">
        <v>94</v>
      </c>
      <c r="V485" t="s">
        <v>33</v>
      </c>
      <c r="X485" t="s">
        <v>86</v>
      </c>
      <c r="Z485" t="s">
        <v>57</v>
      </c>
      <c r="AB485" t="s">
        <v>35</v>
      </c>
      <c r="AD485" t="s">
        <v>36</v>
      </c>
      <c r="AF485" t="s">
        <v>537</v>
      </c>
      <c r="AH485" t="s">
        <v>545</v>
      </c>
      <c r="AJ485" t="s">
        <v>546</v>
      </c>
      <c r="AL485">
        <v>143500</v>
      </c>
      <c r="AN485">
        <v>1</v>
      </c>
      <c r="AP485">
        <v>160000</v>
      </c>
      <c r="AR485">
        <v>160000</v>
      </c>
      <c r="AT485" t="s">
        <v>57</v>
      </c>
      <c r="AU485" t="str">
        <f t="shared" si="7"/>
        <v>Omset lainnya</v>
      </c>
    </row>
    <row r="486" spans="2:47" ht="23.1" customHeight="1">
      <c r="B486" s="9">
        <v>46254</v>
      </c>
      <c r="D486" t="s">
        <v>1207</v>
      </c>
      <c r="F486" t="s">
        <v>1208</v>
      </c>
      <c r="H486" s="9">
        <v>46254</v>
      </c>
      <c r="J486" t="s">
        <v>27</v>
      </c>
      <c r="L486" t="s">
        <v>1209</v>
      </c>
      <c r="N486" t="s">
        <v>1210</v>
      </c>
      <c r="P486" t="s">
        <v>57</v>
      </c>
      <c r="R486" t="s">
        <v>31</v>
      </c>
      <c r="T486" t="s">
        <v>32</v>
      </c>
      <c r="V486" t="s">
        <v>49</v>
      </c>
      <c r="X486" t="s">
        <v>49</v>
      </c>
      <c r="Z486" t="s">
        <v>57</v>
      </c>
      <c r="AB486" t="s">
        <v>35</v>
      </c>
      <c r="AD486" t="s">
        <v>50</v>
      </c>
      <c r="AF486" t="s">
        <v>1211</v>
      </c>
      <c r="AH486" t="s">
        <v>152</v>
      </c>
      <c r="AJ486" t="s">
        <v>153</v>
      </c>
      <c r="AL486">
        <v>0</v>
      </c>
      <c r="AN486">
        <v>1</v>
      </c>
      <c r="AP486">
        <v>0</v>
      </c>
      <c r="AR486">
        <v>0</v>
      </c>
      <c r="AT486" t="s">
        <v>57</v>
      </c>
      <c r="AU486" t="str">
        <f t="shared" si="7"/>
        <v>Omset lainnya</v>
      </c>
    </row>
    <row r="487" spans="2:47" ht="14.1" customHeight="1">
      <c r="B487" s="9">
        <v>46254</v>
      </c>
      <c r="D487" t="s">
        <v>1207</v>
      </c>
      <c r="F487" t="s">
        <v>1208</v>
      </c>
      <c r="H487" s="9">
        <v>46254</v>
      </c>
      <c r="J487" t="s">
        <v>27</v>
      </c>
      <c r="L487" t="s">
        <v>1209</v>
      </c>
      <c r="N487" t="s">
        <v>1210</v>
      </c>
      <c r="P487" t="s">
        <v>57</v>
      </c>
      <c r="R487" t="s">
        <v>31</v>
      </c>
      <c r="T487" t="s">
        <v>41</v>
      </c>
      <c r="V487" t="s">
        <v>49</v>
      </c>
      <c r="X487" t="s">
        <v>49</v>
      </c>
      <c r="Z487" t="s">
        <v>57</v>
      </c>
      <c r="AB487" t="s">
        <v>35</v>
      </c>
      <c r="AD487" t="s">
        <v>50</v>
      </c>
      <c r="AF487" t="s">
        <v>1211</v>
      </c>
      <c r="AH487" t="s">
        <v>42</v>
      </c>
      <c r="AJ487" t="s">
        <v>43</v>
      </c>
      <c r="AL487">
        <v>17450</v>
      </c>
      <c r="AN487">
        <v>1</v>
      </c>
      <c r="AP487">
        <v>20000</v>
      </c>
      <c r="AR487">
        <v>20000</v>
      </c>
      <c r="AT487" t="s">
        <v>57</v>
      </c>
      <c r="AU487" t="str">
        <f t="shared" si="7"/>
        <v>Omset lainnya</v>
      </c>
    </row>
    <row r="488" spans="2:47" ht="14.1" customHeight="1">
      <c r="B488" s="9">
        <v>46254</v>
      </c>
      <c r="D488" t="s">
        <v>1212</v>
      </c>
      <c r="F488" t="s">
        <v>1213</v>
      </c>
      <c r="H488" s="9">
        <v>46252</v>
      </c>
      <c r="J488" t="s">
        <v>27</v>
      </c>
      <c r="L488" t="s">
        <v>1214</v>
      </c>
      <c r="N488" t="s">
        <v>1215</v>
      </c>
      <c r="P488" t="s">
        <v>57</v>
      </c>
      <c r="R488" t="s">
        <v>31</v>
      </c>
      <c r="T488" t="s">
        <v>32</v>
      </c>
      <c r="V488" t="s">
        <v>33</v>
      </c>
      <c r="X488" t="s">
        <v>33</v>
      </c>
      <c r="Z488" t="s">
        <v>77</v>
      </c>
      <c r="AB488" t="s">
        <v>95</v>
      </c>
      <c r="AD488" t="s">
        <v>50</v>
      </c>
      <c r="AF488" t="s">
        <v>1216</v>
      </c>
      <c r="AH488" t="s">
        <v>38</v>
      </c>
      <c r="AJ488" t="s">
        <v>39</v>
      </c>
      <c r="AL488">
        <v>0</v>
      </c>
      <c r="AN488">
        <v>1</v>
      </c>
      <c r="AP488">
        <v>215000</v>
      </c>
      <c r="AR488">
        <v>215000</v>
      </c>
      <c r="AT488" t="s">
        <v>57</v>
      </c>
      <c r="AU488" t="str">
        <f t="shared" si="7"/>
        <v>Omset Interface</v>
      </c>
    </row>
    <row r="489" spans="2:47" ht="23.1" customHeight="1">
      <c r="B489" s="9">
        <v>46254</v>
      </c>
      <c r="D489" t="s">
        <v>1212</v>
      </c>
      <c r="F489" t="s">
        <v>1213</v>
      </c>
      <c r="H489" s="9">
        <v>46252</v>
      </c>
      <c r="J489" t="s">
        <v>27</v>
      </c>
      <c r="L489" t="s">
        <v>1214</v>
      </c>
      <c r="N489" t="s">
        <v>1215</v>
      </c>
      <c r="P489" t="s">
        <v>57</v>
      </c>
      <c r="R489" t="s">
        <v>31</v>
      </c>
      <c r="T489" t="s">
        <v>41</v>
      </c>
      <c r="V489" t="s">
        <v>33</v>
      </c>
      <c r="X489" t="s">
        <v>33</v>
      </c>
      <c r="Z489" t="s">
        <v>77</v>
      </c>
      <c r="AB489" t="s">
        <v>95</v>
      </c>
      <c r="AD489" t="s">
        <v>50</v>
      </c>
      <c r="AF489" t="s">
        <v>1216</v>
      </c>
      <c r="AH489" t="s">
        <v>42</v>
      </c>
      <c r="AJ489" t="s">
        <v>43</v>
      </c>
      <c r="AL489">
        <v>17450</v>
      </c>
      <c r="AN489">
        <v>1</v>
      </c>
      <c r="AP489">
        <v>20000</v>
      </c>
      <c r="AR489">
        <v>20000</v>
      </c>
      <c r="AT489" t="s">
        <v>57</v>
      </c>
      <c r="AU489" t="str">
        <f t="shared" si="7"/>
        <v>Omset lainnya</v>
      </c>
    </row>
    <row r="490" spans="2:47" ht="23.1" customHeight="1">
      <c r="B490" s="9">
        <v>46255</v>
      </c>
      <c r="D490" t="s">
        <v>1217</v>
      </c>
      <c r="F490" t="s">
        <v>1218</v>
      </c>
      <c r="H490" s="9">
        <v>46254</v>
      </c>
      <c r="J490" t="s">
        <v>27</v>
      </c>
      <c r="L490" t="s">
        <v>951</v>
      </c>
      <c r="N490" t="s">
        <v>952</v>
      </c>
      <c r="P490" t="s">
        <v>310</v>
      </c>
      <c r="R490" t="s">
        <v>31</v>
      </c>
      <c r="T490" t="s">
        <v>94</v>
      </c>
      <c r="V490" t="s">
        <v>49</v>
      </c>
      <c r="X490" t="s">
        <v>86</v>
      </c>
      <c r="Z490" t="s">
        <v>64</v>
      </c>
      <c r="AB490" t="s">
        <v>178</v>
      </c>
      <c r="AD490" t="s">
        <v>65</v>
      </c>
      <c r="AF490" t="s">
        <v>444</v>
      </c>
      <c r="AH490" t="s">
        <v>1219</v>
      </c>
      <c r="AJ490" t="s">
        <v>1220</v>
      </c>
      <c r="AL490">
        <v>66000</v>
      </c>
      <c r="AN490">
        <v>1</v>
      </c>
      <c r="AP490">
        <v>75000</v>
      </c>
      <c r="AR490">
        <v>75000</v>
      </c>
      <c r="AT490" t="s">
        <v>64</v>
      </c>
      <c r="AU490" t="str">
        <f t="shared" si="7"/>
        <v>Omset lainnya</v>
      </c>
    </row>
    <row r="491" spans="2:47" ht="14.1" customHeight="1">
      <c r="B491" s="9">
        <v>46254</v>
      </c>
      <c r="D491" t="s">
        <v>1177</v>
      </c>
      <c r="F491" t="s">
        <v>1178</v>
      </c>
      <c r="H491" s="9">
        <v>46253</v>
      </c>
      <c r="J491" t="s">
        <v>1091</v>
      </c>
      <c r="L491" t="s">
        <v>1179</v>
      </c>
      <c r="N491" t="s">
        <v>1180</v>
      </c>
      <c r="P491" t="s">
        <v>64</v>
      </c>
      <c r="R491" t="s">
        <v>31</v>
      </c>
      <c r="T491" t="s">
        <v>94</v>
      </c>
      <c r="X491" t="s">
        <v>49</v>
      </c>
      <c r="Z491" t="s">
        <v>57</v>
      </c>
      <c r="AB491" t="s">
        <v>35</v>
      </c>
      <c r="AD491" t="s">
        <v>50</v>
      </c>
      <c r="AF491" t="s">
        <v>1181</v>
      </c>
      <c r="AH491" t="s">
        <v>495</v>
      </c>
      <c r="AJ491" t="s">
        <v>496</v>
      </c>
      <c r="AL491">
        <v>123500</v>
      </c>
      <c r="AN491">
        <v>1</v>
      </c>
      <c r="AP491">
        <v>136000</v>
      </c>
      <c r="AR491">
        <v>136000</v>
      </c>
      <c r="AT491" t="s">
        <v>64</v>
      </c>
      <c r="AU491" t="str">
        <f t="shared" si="7"/>
        <v>Omset lainnya</v>
      </c>
    </row>
    <row r="492" spans="2:47" ht="23.1" customHeight="1">
      <c r="B492" s="9">
        <v>46254</v>
      </c>
      <c r="D492" t="s">
        <v>1207</v>
      </c>
      <c r="F492" t="s">
        <v>1208</v>
      </c>
      <c r="H492" s="9">
        <v>46254</v>
      </c>
      <c r="J492" t="s">
        <v>27</v>
      </c>
      <c r="L492" t="s">
        <v>1209</v>
      </c>
      <c r="N492" t="s">
        <v>1210</v>
      </c>
      <c r="P492" t="s">
        <v>57</v>
      </c>
      <c r="R492" t="s">
        <v>31</v>
      </c>
      <c r="T492" t="s">
        <v>94</v>
      </c>
      <c r="V492" t="s">
        <v>49</v>
      </c>
      <c r="X492" t="s">
        <v>49</v>
      </c>
      <c r="Z492" t="s">
        <v>57</v>
      </c>
      <c r="AB492" t="s">
        <v>35</v>
      </c>
      <c r="AD492" t="s">
        <v>50</v>
      </c>
      <c r="AF492" t="s">
        <v>1211</v>
      </c>
      <c r="AH492" t="s">
        <v>1221</v>
      </c>
      <c r="AJ492" t="s">
        <v>1222</v>
      </c>
      <c r="AL492">
        <v>120500</v>
      </c>
      <c r="AN492">
        <v>1</v>
      </c>
      <c r="AP492">
        <v>133000</v>
      </c>
      <c r="AR492">
        <v>133000</v>
      </c>
      <c r="AT492" t="s">
        <v>57</v>
      </c>
      <c r="AU492" t="str">
        <f t="shared" si="7"/>
        <v>Omset lainnya</v>
      </c>
    </row>
    <row r="493" spans="2:47" ht="23.1" customHeight="1">
      <c r="B493" s="9">
        <v>46254</v>
      </c>
      <c r="D493" t="s">
        <v>1223</v>
      </c>
      <c r="F493" t="s">
        <v>1224</v>
      </c>
      <c r="H493" s="9">
        <v>46254</v>
      </c>
      <c r="J493" t="s">
        <v>54</v>
      </c>
      <c r="L493" t="s">
        <v>1225</v>
      </c>
      <c r="N493" t="s">
        <v>1226</v>
      </c>
      <c r="P493" t="s">
        <v>77</v>
      </c>
      <c r="R493" t="s">
        <v>31</v>
      </c>
      <c r="T493" t="s">
        <v>94</v>
      </c>
      <c r="V493" t="s">
        <v>86</v>
      </c>
      <c r="X493" t="s">
        <v>86</v>
      </c>
      <c r="Z493" t="s">
        <v>77</v>
      </c>
      <c r="AB493" t="s">
        <v>35</v>
      </c>
      <c r="AD493" t="s">
        <v>128</v>
      </c>
      <c r="AF493" t="s">
        <v>1227</v>
      </c>
      <c r="AH493" t="s">
        <v>1228</v>
      </c>
      <c r="AJ493" t="s">
        <v>1229</v>
      </c>
      <c r="AL493">
        <v>146000</v>
      </c>
      <c r="AN493">
        <v>1</v>
      </c>
      <c r="AP493">
        <v>161000</v>
      </c>
      <c r="AR493">
        <v>161000</v>
      </c>
      <c r="AT493" t="s">
        <v>1230</v>
      </c>
      <c r="AU493" t="str">
        <f t="shared" si="7"/>
        <v>Omset lainnya</v>
      </c>
    </row>
    <row r="494" spans="2:47" ht="23.1" customHeight="1">
      <c r="B494" s="9">
        <v>46255</v>
      </c>
      <c r="D494" t="s">
        <v>1231</v>
      </c>
      <c r="F494" t="s">
        <v>1232</v>
      </c>
      <c r="H494" s="9">
        <v>46255</v>
      </c>
      <c r="J494" t="s">
        <v>54</v>
      </c>
      <c r="L494" t="s">
        <v>1233</v>
      </c>
      <c r="N494" t="s">
        <v>1234</v>
      </c>
      <c r="P494" t="s">
        <v>77</v>
      </c>
      <c r="R494" t="s">
        <v>31</v>
      </c>
      <c r="T494" t="s">
        <v>32</v>
      </c>
      <c r="V494" t="s">
        <v>33</v>
      </c>
      <c r="X494" t="s">
        <v>33</v>
      </c>
      <c r="Z494" t="s">
        <v>77</v>
      </c>
      <c r="AB494" t="s">
        <v>753</v>
      </c>
      <c r="AD494" t="s">
        <v>165</v>
      </c>
      <c r="AF494" t="s">
        <v>1235</v>
      </c>
      <c r="AH494" t="s">
        <v>355</v>
      </c>
      <c r="AJ494" t="s">
        <v>356</v>
      </c>
      <c r="AL494">
        <v>0</v>
      </c>
      <c r="AN494">
        <v>1</v>
      </c>
      <c r="AP494">
        <v>230000</v>
      </c>
      <c r="AR494">
        <v>230000</v>
      </c>
      <c r="AU494" t="str">
        <f t="shared" si="7"/>
        <v>Omset Normal</v>
      </c>
    </row>
    <row r="495" spans="2:47" ht="23.1" customHeight="1">
      <c r="B495" s="9">
        <v>46255</v>
      </c>
      <c r="D495" t="s">
        <v>1231</v>
      </c>
      <c r="F495" t="s">
        <v>1232</v>
      </c>
      <c r="H495" s="9">
        <v>46255</v>
      </c>
      <c r="J495" t="s">
        <v>54</v>
      </c>
      <c r="L495" t="s">
        <v>1233</v>
      </c>
      <c r="N495" t="s">
        <v>1234</v>
      </c>
      <c r="P495" t="s">
        <v>77</v>
      </c>
      <c r="R495" t="s">
        <v>31</v>
      </c>
      <c r="T495" t="s">
        <v>41</v>
      </c>
      <c r="V495" t="s">
        <v>33</v>
      </c>
      <c r="X495" t="s">
        <v>33</v>
      </c>
      <c r="Z495" t="s">
        <v>77</v>
      </c>
      <c r="AB495" t="s">
        <v>753</v>
      </c>
      <c r="AD495" t="s">
        <v>165</v>
      </c>
      <c r="AF495" t="s">
        <v>1235</v>
      </c>
      <c r="AH495" t="s">
        <v>42</v>
      </c>
      <c r="AJ495" t="s">
        <v>43</v>
      </c>
      <c r="AL495">
        <v>17450</v>
      </c>
      <c r="AN495">
        <v>1</v>
      </c>
      <c r="AP495">
        <v>20000</v>
      </c>
      <c r="AR495">
        <v>20000</v>
      </c>
      <c r="AU495" t="str">
        <f t="shared" si="7"/>
        <v>Omset lainnya</v>
      </c>
    </row>
    <row r="496" spans="2:47" ht="23.1" customHeight="1">
      <c r="B496" s="9">
        <v>46255</v>
      </c>
      <c r="D496" t="s">
        <v>1236</v>
      </c>
      <c r="F496" t="s">
        <v>1237</v>
      </c>
      <c r="H496" s="9">
        <v>46255</v>
      </c>
      <c r="J496" t="s">
        <v>27</v>
      </c>
      <c r="L496" t="s">
        <v>1238</v>
      </c>
      <c r="N496" t="s">
        <v>76</v>
      </c>
      <c r="P496" t="s">
        <v>77</v>
      </c>
      <c r="R496" t="s">
        <v>177</v>
      </c>
      <c r="T496" t="s">
        <v>41</v>
      </c>
      <c r="Z496" t="s">
        <v>77</v>
      </c>
      <c r="AB496" t="s">
        <v>178</v>
      </c>
      <c r="AD496" t="s">
        <v>78</v>
      </c>
      <c r="AF496" t="s">
        <v>1239</v>
      </c>
      <c r="AH496" t="s">
        <v>1240</v>
      </c>
      <c r="AJ496" t="s">
        <v>1241</v>
      </c>
      <c r="AL496">
        <v>75000</v>
      </c>
      <c r="AN496">
        <v>1</v>
      </c>
      <c r="AP496">
        <v>151000</v>
      </c>
      <c r="AR496">
        <v>151000</v>
      </c>
      <c r="AT496" t="s">
        <v>77</v>
      </c>
      <c r="AU496" t="str">
        <f t="shared" si="7"/>
        <v>Omset lainnya</v>
      </c>
    </row>
    <row r="497" spans="2:47" ht="23.1" customHeight="1">
      <c r="B497" s="9">
        <v>46255</v>
      </c>
      <c r="D497" t="s">
        <v>1242</v>
      </c>
      <c r="F497" t="s">
        <v>1243</v>
      </c>
      <c r="H497" s="9">
        <v>46255</v>
      </c>
      <c r="J497" t="s">
        <v>27</v>
      </c>
      <c r="L497" t="s">
        <v>1244</v>
      </c>
      <c r="N497" t="s">
        <v>1245</v>
      </c>
      <c r="P497" t="s">
        <v>77</v>
      </c>
      <c r="R497" t="s">
        <v>31</v>
      </c>
      <c r="T497" t="s">
        <v>32</v>
      </c>
      <c r="V497" t="s">
        <v>49</v>
      </c>
      <c r="X497" t="s">
        <v>49</v>
      </c>
      <c r="Z497" t="s">
        <v>77</v>
      </c>
      <c r="AB497" t="s">
        <v>95</v>
      </c>
      <c r="AD497" t="s">
        <v>65</v>
      </c>
      <c r="AF497" t="s">
        <v>1246</v>
      </c>
      <c r="AH497" t="s">
        <v>1247</v>
      </c>
      <c r="AJ497" t="s">
        <v>1248</v>
      </c>
      <c r="AL497">
        <v>0</v>
      </c>
      <c r="AN497">
        <v>1</v>
      </c>
      <c r="AP497">
        <v>180000</v>
      </c>
      <c r="AR497">
        <v>180000</v>
      </c>
      <c r="AT497" t="s">
        <v>77</v>
      </c>
      <c r="AU497" t="str">
        <f t="shared" si="7"/>
        <v>Omset Normal</v>
      </c>
    </row>
    <row r="498" spans="2:47" ht="23.1" customHeight="1">
      <c r="B498" s="9">
        <v>46255</v>
      </c>
      <c r="D498" t="s">
        <v>1242</v>
      </c>
      <c r="F498" t="s">
        <v>1243</v>
      </c>
      <c r="H498" s="9">
        <v>46255</v>
      </c>
      <c r="J498" t="s">
        <v>27</v>
      </c>
      <c r="L498" t="s">
        <v>1244</v>
      </c>
      <c r="N498" t="s">
        <v>1245</v>
      </c>
      <c r="P498" t="s">
        <v>77</v>
      </c>
      <c r="R498" t="s">
        <v>31</v>
      </c>
      <c r="T498" t="s">
        <v>41</v>
      </c>
      <c r="V498" t="s">
        <v>49</v>
      </c>
      <c r="X498" t="s">
        <v>49</v>
      </c>
      <c r="Z498" t="s">
        <v>77</v>
      </c>
      <c r="AB498" t="s">
        <v>95</v>
      </c>
      <c r="AD498" t="s">
        <v>65</v>
      </c>
      <c r="AF498" t="s">
        <v>1246</v>
      </c>
      <c r="AH498" t="s">
        <v>296</v>
      </c>
      <c r="AJ498" t="s">
        <v>297</v>
      </c>
      <c r="AL498">
        <v>19300</v>
      </c>
      <c r="AN498">
        <v>1</v>
      </c>
      <c r="AP498">
        <v>20000</v>
      </c>
      <c r="AR498">
        <v>20000</v>
      </c>
      <c r="AT498" t="s">
        <v>77</v>
      </c>
      <c r="AU498" t="str">
        <f t="shared" si="7"/>
        <v>Omset lainnya</v>
      </c>
    </row>
    <row r="499" spans="2:47" ht="23.1" customHeight="1">
      <c r="B499" s="9">
        <v>46255</v>
      </c>
      <c r="D499" t="s">
        <v>1249</v>
      </c>
      <c r="F499" t="s">
        <v>1250</v>
      </c>
      <c r="H499" s="9">
        <v>46255</v>
      </c>
      <c r="J499" t="s">
        <v>27</v>
      </c>
      <c r="L499" t="s">
        <v>1251</v>
      </c>
      <c r="N499" t="s">
        <v>1252</v>
      </c>
      <c r="P499" t="s">
        <v>64</v>
      </c>
      <c r="R499" t="s">
        <v>31</v>
      </c>
      <c r="T499" t="s">
        <v>32</v>
      </c>
      <c r="V499" t="s">
        <v>86</v>
      </c>
      <c r="X499" t="s">
        <v>86</v>
      </c>
      <c r="Z499" t="s">
        <v>64</v>
      </c>
      <c r="AB499" t="s">
        <v>95</v>
      </c>
      <c r="AD499" t="s">
        <v>65</v>
      </c>
      <c r="AF499" t="s">
        <v>278</v>
      </c>
      <c r="AH499" t="s">
        <v>38</v>
      </c>
      <c r="AJ499" t="s">
        <v>39</v>
      </c>
      <c r="AL499">
        <v>0</v>
      </c>
      <c r="AN499">
        <v>1</v>
      </c>
      <c r="AP499">
        <v>75000</v>
      </c>
      <c r="AR499">
        <v>75000</v>
      </c>
      <c r="AT499" t="s">
        <v>64</v>
      </c>
      <c r="AU499" t="str">
        <f t="shared" si="7"/>
        <v>Omset Interface</v>
      </c>
    </row>
    <row r="500" spans="2:47" ht="23.1" customHeight="1">
      <c r="B500" s="9">
        <v>46255</v>
      </c>
      <c r="D500" t="s">
        <v>1217</v>
      </c>
      <c r="F500" t="s">
        <v>1218</v>
      </c>
      <c r="H500" s="9">
        <v>46254</v>
      </c>
      <c r="J500" t="s">
        <v>27</v>
      </c>
      <c r="L500" t="s">
        <v>951</v>
      </c>
      <c r="N500" t="s">
        <v>952</v>
      </c>
      <c r="P500" t="s">
        <v>310</v>
      </c>
      <c r="R500" t="s">
        <v>31</v>
      </c>
      <c r="T500" t="s">
        <v>32</v>
      </c>
      <c r="V500" t="s">
        <v>49</v>
      </c>
      <c r="X500" t="s">
        <v>86</v>
      </c>
      <c r="Z500" t="s">
        <v>64</v>
      </c>
      <c r="AB500" t="s">
        <v>178</v>
      </c>
      <c r="AD500" t="s">
        <v>65</v>
      </c>
      <c r="AF500" t="s">
        <v>444</v>
      </c>
      <c r="AH500" t="s">
        <v>746</v>
      </c>
      <c r="AJ500" t="s">
        <v>747</v>
      </c>
      <c r="AL500">
        <v>0</v>
      </c>
      <c r="AN500">
        <v>1</v>
      </c>
      <c r="AP500">
        <v>100000</v>
      </c>
      <c r="AR500">
        <v>100000</v>
      </c>
      <c r="AT500" t="s">
        <v>64</v>
      </c>
      <c r="AU500" t="str">
        <f t="shared" si="7"/>
        <v>Omset Normal</v>
      </c>
    </row>
    <row r="501" spans="2:47" ht="23.1" customHeight="1">
      <c r="B501" s="9">
        <v>46255</v>
      </c>
      <c r="D501" t="s">
        <v>1217</v>
      </c>
      <c r="F501" t="s">
        <v>1218</v>
      </c>
      <c r="H501" s="9">
        <v>46254</v>
      </c>
      <c r="J501" t="s">
        <v>27</v>
      </c>
      <c r="L501" t="s">
        <v>951</v>
      </c>
      <c r="N501" t="s">
        <v>952</v>
      </c>
      <c r="P501" t="s">
        <v>310</v>
      </c>
      <c r="R501" t="s">
        <v>31</v>
      </c>
      <c r="T501" t="s">
        <v>32</v>
      </c>
      <c r="V501" t="s">
        <v>49</v>
      </c>
      <c r="X501" t="s">
        <v>86</v>
      </c>
      <c r="Z501" t="s">
        <v>64</v>
      </c>
      <c r="AB501" t="s">
        <v>178</v>
      </c>
      <c r="AD501" t="s">
        <v>65</v>
      </c>
      <c r="AF501" t="s">
        <v>444</v>
      </c>
      <c r="AH501" t="s">
        <v>114</v>
      </c>
      <c r="AJ501" t="s">
        <v>115</v>
      </c>
      <c r="AL501">
        <v>0</v>
      </c>
      <c r="AN501">
        <v>1</v>
      </c>
      <c r="AP501">
        <v>80000</v>
      </c>
      <c r="AR501">
        <v>80000</v>
      </c>
      <c r="AT501" t="s">
        <v>64</v>
      </c>
      <c r="AU501" t="str">
        <f t="shared" si="7"/>
        <v>Omset Normal</v>
      </c>
    </row>
    <row r="502" spans="2:47" ht="23.1" customHeight="1">
      <c r="B502" s="9">
        <v>46255</v>
      </c>
      <c r="D502" t="s">
        <v>1217</v>
      </c>
      <c r="F502" t="s">
        <v>1218</v>
      </c>
      <c r="H502" s="9">
        <v>46254</v>
      </c>
      <c r="J502" t="s">
        <v>27</v>
      </c>
      <c r="L502" t="s">
        <v>951</v>
      </c>
      <c r="N502" t="s">
        <v>952</v>
      </c>
      <c r="P502" t="s">
        <v>310</v>
      </c>
      <c r="R502" t="s">
        <v>31</v>
      </c>
      <c r="T502" t="s">
        <v>94</v>
      </c>
      <c r="V502" t="s">
        <v>49</v>
      </c>
      <c r="X502" t="s">
        <v>86</v>
      </c>
      <c r="Z502" t="s">
        <v>64</v>
      </c>
      <c r="AB502" t="s">
        <v>178</v>
      </c>
      <c r="AD502" t="s">
        <v>65</v>
      </c>
      <c r="AF502" t="s">
        <v>444</v>
      </c>
      <c r="AH502" t="s">
        <v>1253</v>
      </c>
      <c r="AJ502" t="s">
        <v>1254</v>
      </c>
      <c r="AL502">
        <v>8000</v>
      </c>
      <c r="AN502">
        <v>1</v>
      </c>
      <c r="AP502">
        <v>10000</v>
      </c>
      <c r="AR502">
        <v>10000</v>
      </c>
      <c r="AT502" t="s">
        <v>64</v>
      </c>
      <c r="AU502" t="str">
        <f t="shared" si="7"/>
        <v>Omset lainnya</v>
      </c>
    </row>
    <row r="503" spans="2:47" ht="23.1" customHeight="1">
      <c r="B503" s="9">
        <v>46255</v>
      </c>
      <c r="D503" t="s">
        <v>1255</v>
      </c>
      <c r="F503" t="s">
        <v>1256</v>
      </c>
      <c r="H503" s="9">
        <v>46255</v>
      </c>
      <c r="J503" t="s">
        <v>27</v>
      </c>
      <c r="L503" t="s">
        <v>1257</v>
      </c>
      <c r="N503" t="s">
        <v>1258</v>
      </c>
      <c r="P503" t="s">
        <v>64</v>
      </c>
      <c r="R503" t="s">
        <v>177</v>
      </c>
      <c r="T503" t="s">
        <v>41</v>
      </c>
      <c r="Z503" t="s">
        <v>64</v>
      </c>
      <c r="AB503" t="s">
        <v>178</v>
      </c>
      <c r="AD503" t="s">
        <v>78</v>
      </c>
      <c r="AH503" t="s">
        <v>180</v>
      </c>
      <c r="AJ503" t="s">
        <v>181</v>
      </c>
      <c r="AL503">
        <v>19913.043478</v>
      </c>
      <c r="AN503">
        <v>1</v>
      </c>
      <c r="AP503">
        <v>75000</v>
      </c>
      <c r="AR503">
        <v>75000</v>
      </c>
      <c r="AT503" t="s">
        <v>64</v>
      </c>
      <c r="AU503" t="str">
        <f t="shared" si="7"/>
        <v>Omset lainnya</v>
      </c>
    </row>
    <row r="504" spans="2:47" ht="23.1" customHeight="1">
      <c r="B504" s="9">
        <v>46255</v>
      </c>
      <c r="D504" t="s">
        <v>1259</v>
      </c>
      <c r="F504" t="s">
        <v>1260</v>
      </c>
      <c r="H504" s="9">
        <v>46255</v>
      </c>
      <c r="J504" t="s">
        <v>27</v>
      </c>
      <c r="L504" t="s">
        <v>1261</v>
      </c>
      <c r="N504" t="s">
        <v>1262</v>
      </c>
      <c r="P504" t="s">
        <v>64</v>
      </c>
      <c r="R504" t="s">
        <v>177</v>
      </c>
      <c r="T504" t="s">
        <v>41</v>
      </c>
      <c r="Z504" t="s">
        <v>64</v>
      </c>
      <c r="AB504" t="s">
        <v>178</v>
      </c>
      <c r="AD504" t="s">
        <v>78</v>
      </c>
      <c r="AH504" t="s">
        <v>1263</v>
      </c>
      <c r="AJ504" t="s">
        <v>1264</v>
      </c>
      <c r="AL504">
        <v>78400</v>
      </c>
      <c r="AN504">
        <v>1</v>
      </c>
      <c r="AP504">
        <v>125000</v>
      </c>
      <c r="AR504">
        <v>125000</v>
      </c>
      <c r="AT504" t="s">
        <v>64</v>
      </c>
      <c r="AU504" t="str">
        <f t="shared" si="7"/>
        <v>Omset lainnya</v>
      </c>
    </row>
    <row r="505" spans="2:47" ht="23.1" customHeight="1">
      <c r="B505" s="9">
        <v>46255</v>
      </c>
      <c r="D505" t="s">
        <v>1265</v>
      </c>
      <c r="F505" t="s">
        <v>1266</v>
      </c>
      <c r="H505" s="9">
        <v>46255</v>
      </c>
      <c r="J505" t="s">
        <v>27</v>
      </c>
      <c r="L505" t="s">
        <v>1257</v>
      </c>
      <c r="N505" t="s">
        <v>1258</v>
      </c>
      <c r="P505" t="s">
        <v>64</v>
      </c>
      <c r="R505" t="s">
        <v>31</v>
      </c>
      <c r="T505" t="s">
        <v>94</v>
      </c>
      <c r="V505" t="s">
        <v>49</v>
      </c>
      <c r="X505" t="s">
        <v>49</v>
      </c>
      <c r="Z505" t="s">
        <v>64</v>
      </c>
      <c r="AB505" t="s">
        <v>186</v>
      </c>
      <c r="AD505" t="s">
        <v>50</v>
      </c>
      <c r="AF505" t="s">
        <v>1267</v>
      </c>
      <c r="AH505" t="s">
        <v>1268</v>
      </c>
      <c r="AJ505" t="s">
        <v>1269</v>
      </c>
      <c r="AL505">
        <v>5000</v>
      </c>
      <c r="AN505">
        <v>1</v>
      </c>
      <c r="AP505">
        <v>10000</v>
      </c>
      <c r="AR505">
        <v>10000</v>
      </c>
      <c r="AT505" t="s">
        <v>64</v>
      </c>
      <c r="AU505" t="str">
        <f t="shared" si="7"/>
        <v>Omset lainnya</v>
      </c>
    </row>
    <row r="506" spans="2:47" ht="23.1" customHeight="1">
      <c r="B506" s="9">
        <v>46255</v>
      </c>
      <c r="D506" t="s">
        <v>1270</v>
      </c>
      <c r="F506" t="s">
        <v>1271</v>
      </c>
      <c r="H506" s="9">
        <v>46255</v>
      </c>
      <c r="J506" t="s">
        <v>27</v>
      </c>
      <c r="L506" t="s">
        <v>1272</v>
      </c>
      <c r="N506" t="s">
        <v>1273</v>
      </c>
      <c r="P506" t="s">
        <v>77</v>
      </c>
      <c r="R506" t="s">
        <v>31</v>
      </c>
      <c r="T506" t="s">
        <v>94</v>
      </c>
      <c r="V506" t="s">
        <v>49</v>
      </c>
      <c r="X506" t="s">
        <v>49</v>
      </c>
      <c r="Z506" t="s">
        <v>77</v>
      </c>
      <c r="AB506" t="s">
        <v>268</v>
      </c>
      <c r="AD506" t="s">
        <v>65</v>
      </c>
      <c r="AF506" t="s">
        <v>467</v>
      </c>
      <c r="AH506" t="s">
        <v>1274</v>
      </c>
      <c r="AJ506" t="s">
        <v>1275</v>
      </c>
      <c r="AL506">
        <v>124500</v>
      </c>
      <c r="AN506">
        <v>1</v>
      </c>
      <c r="AP506">
        <v>137000</v>
      </c>
      <c r="AR506">
        <v>137000</v>
      </c>
      <c r="AT506" t="s">
        <v>77</v>
      </c>
      <c r="AU506" t="str">
        <f t="shared" si="7"/>
        <v>Omset lainnya</v>
      </c>
    </row>
    <row r="507" spans="2:47" ht="23.1" customHeight="1">
      <c r="B507" s="9">
        <v>46256</v>
      </c>
      <c r="D507" t="s">
        <v>1276</v>
      </c>
      <c r="F507" t="s">
        <v>1277</v>
      </c>
      <c r="H507" s="9">
        <v>46255</v>
      </c>
      <c r="J507" t="s">
        <v>27</v>
      </c>
      <c r="L507" t="s">
        <v>1278</v>
      </c>
      <c r="N507" t="s">
        <v>1110</v>
      </c>
      <c r="P507" t="s">
        <v>64</v>
      </c>
      <c r="R507" t="s">
        <v>31</v>
      </c>
      <c r="T507" t="s">
        <v>94</v>
      </c>
      <c r="V507" t="s">
        <v>86</v>
      </c>
      <c r="X507" t="s">
        <v>86</v>
      </c>
      <c r="Z507" t="s">
        <v>77</v>
      </c>
      <c r="AB507" t="s">
        <v>268</v>
      </c>
      <c r="AD507" t="s">
        <v>112</v>
      </c>
      <c r="AF507" t="s">
        <v>1279</v>
      </c>
      <c r="AH507" t="s">
        <v>1280</v>
      </c>
      <c r="AJ507" t="s">
        <v>1281</v>
      </c>
      <c r="AL507">
        <v>130000</v>
      </c>
      <c r="AN507">
        <v>1</v>
      </c>
      <c r="AP507">
        <v>140000</v>
      </c>
      <c r="AR507">
        <v>140000</v>
      </c>
      <c r="AT507" t="s">
        <v>64</v>
      </c>
      <c r="AU507" t="str">
        <f t="shared" si="7"/>
        <v>Omset lainnya</v>
      </c>
    </row>
    <row r="508" spans="2:47" ht="23.1" customHeight="1">
      <c r="B508" s="9">
        <v>46256</v>
      </c>
      <c r="D508" t="s">
        <v>1282</v>
      </c>
      <c r="F508" t="s">
        <v>1283</v>
      </c>
      <c r="H508" s="9">
        <v>46254</v>
      </c>
      <c r="J508" t="s">
        <v>27</v>
      </c>
      <c r="L508" t="s">
        <v>1284</v>
      </c>
      <c r="N508" t="s">
        <v>1285</v>
      </c>
      <c r="P508" t="s">
        <v>77</v>
      </c>
      <c r="R508" t="s">
        <v>31</v>
      </c>
      <c r="T508" t="s">
        <v>41</v>
      </c>
      <c r="V508" t="s">
        <v>86</v>
      </c>
      <c r="X508" t="s">
        <v>86</v>
      </c>
      <c r="Z508" t="s">
        <v>57</v>
      </c>
      <c r="AB508" t="s">
        <v>268</v>
      </c>
      <c r="AD508" t="s">
        <v>65</v>
      </c>
      <c r="AF508" t="s">
        <v>771</v>
      </c>
      <c r="AH508" t="s">
        <v>42</v>
      </c>
      <c r="AJ508" t="s">
        <v>43</v>
      </c>
      <c r="AL508">
        <v>17450</v>
      </c>
      <c r="AN508">
        <v>1</v>
      </c>
      <c r="AP508">
        <v>20000</v>
      </c>
      <c r="AR508">
        <v>20000</v>
      </c>
      <c r="AT508" t="s">
        <v>64</v>
      </c>
      <c r="AU508" t="str">
        <f t="shared" si="7"/>
        <v>Omset lainnya</v>
      </c>
    </row>
    <row r="509" spans="2:47" ht="23.1" customHeight="1">
      <c r="B509" s="9">
        <v>46254</v>
      </c>
      <c r="D509" t="s">
        <v>1286</v>
      </c>
      <c r="F509" t="s">
        <v>1287</v>
      </c>
      <c r="H509" s="9">
        <v>46253</v>
      </c>
      <c r="J509" t="s">
        <v>27</v>
      </c>
      <c r="L509" t="s">
        <v>1288</v>
      </c>
      <c r="N509" t="s">
        <v>1289</v>
      </c>
      <c r="P509" t="s">
        <v>77</v>
      </c>
      <c r="R509" t="s">
        <v>173</v>
      </c>
      <c r="T509" t="s">
        <v>32</v>
      </c>
      <c r="V509" t="s">
        <v>33</v>
      </c>
      <c r="X509" t="s">
        <v>33</v>
      </c>
      <c r="Z509" t="s">
        <v>77</v>
      </c>
      <c r="AB509" t="s">
        <v>95</v>
      </c>
      <c r="AD509" t="s">
        <v>87</v>
      </c>
      <c r="AF509" t="s">
        <v>1290</v>
      </c>
      <c r="AH509" t="s">
        <v>355</v>
      </c>
      <c r="AJ509" t="s">
        <v>356</v>
      </c>
      <c r="AL509">
        <v>0</v>
      </c>
      <c r="AN509">
        <v>1</v>
      </c>
      <c r="AP509">
        <v>480000</v>
      </c>
      <c r="AR509">
        <v>480000</v>
      </c>
      <c r="AT509" t="s">
        <v>1230</v>
      </c>
      <c r="AU509" t="str">
        <f t="shared" si="7"/>
        <v>Omset Normal</v>
      </c>
    </row>
    <row r="510" spans="2:47" ht="23.1" customHeight="1">
      <c r="B510" s="9">
        <v>46254</v>
      </c>
      <c r="D510" t="s">
        <v>1286</v>
      </c>
      <c r="F510" t="s">
        <v>1287</v>
      </c>
      <c r="H510" s="9">
        <v>46253</v>
      </c>
      <c r="J510" t="s">
        <v>27</v>
      </c>
      <c r="L510" t="s">
        <v>1288</v>
      </c>
      <c r="N510" t="s">
        <v>1289</v>
      </c>
      <c r="P510" t="s">
        <v>77</v>
      </c>
      <c r="R510" t="s">
        <v>173</v>
      </c>
      <c r="T510" t="s">
        <v>41</v>
      </c>
      <c r="V510" t="s">
        <v>33</v>
      </c>
      <c r="X510" t="s">
        <v>33</v>
      </c>
      <c r="Z510" t="s">
        <v>77</v>
      </c>
      <c r="AB510" t="s">
        <v>95</v>
      </c>
      <c r="AD510" t="s">
        <v>87</v>
      </c>
      <c r="AF510" t="s">
        <v>1290</v>
      </c>
      <c r="AH510" t="s">
        <v>296</v>
      </c>
      <c r="AJ510" t="s">
        <v>297</v>
      </c>
      <c r="AL510">
        <v>19300</v>
      </c>
      <c r="AN510">
        <v>1</v>
      </c>
      <c r="AP510">
        <v>20000</v>
      </c>
      <c r="AR510">
        <v>20000</v>
      </c>
      <c r="AT510" t="s">
        <v>1230</v>
      </c>
      <c r="AU510" t="str">
        <f t="shared" si="7"/>
        <v>Omset lainnya</v>
      </c>
    </row>
    <row r="511" spans="2:47" ht="23.1" customHeight="1">
      <c r="B511" s="9">
        <v>46254</v>
      </c>
      <c r="D511" t="s">
        <v>1223</v>
      </c>
      <c r="F511" t="s">
        <v>1224</v>
      </c>
      <c r="H511" s="9">
        <v>46254</v>
      </c>
      <c r="J511" t="s">
        <v>54</v>
      </c>
      <c r="L511" t="s">
        <v>1225</v>
      </c>
      <c r="N511" t="s">
        <v>1226</v>
      </c>
      <c r="P511" t="s">
        <v>77</v>
      </c>
      <c r="R511" t="s">
        <v>31</v>
      </c>
      <c r="T511" t="s">
        <v>32</v>
      </c>
      <c r="V511" t="s">
        <v>86</v>
      </c>
      <c r="X511" t="s">
        <v>86</v>
      </c>
      <c r="Z511" t="s">
        <v>77</v>
      </c>
      <c r="AB511" t="s">
        <v>35</v>
      </c>
      <c r="AD511" t="s">
        <v>128</v>
      </c>
      <c r="AF511" t="s">
        <v>1227</v>
      </c>
      <c r="AH511" t="s">
        <v>38</v>
      </c>
      <c r="AJ511" t="s">
        <v>39</v>
      </c>
      <c r="AL511">
        <v>0</v>
      </c>
      <c r="AN511">
        <v>1</v>
      </c>
      <c r="AP511">
        <v>52000</v>
      </c>
      <c r="AR511">
        <v>52000</v>
      </c>
      <c r="AT511" t="s">
        <v>1230</v>
      </c>
      <c r="AU511" t="str">
        <f t="shared" si="7"/>
        <v>Omset Interface</v>
      </c>
    </row>
    <row r="512" spans="2:47" ht="23.1" customHeight="1">
      <c r="B512" s="9">
        <v>46254</v>
      </c>
      <c r="D512" t="s">
        <v>1223</v>
      </c>
      <c r="F512" t="s">
        <v>1224</v>
      </c>
      <c r="H512" s="9">
        <v>46254</v>
      </c>
      <c r="J512" t="s">
        <v>54</v>
      </c>
      <c r="L512" t="s">
        <v>1225</v>
      </c>
      <c r="N512" t="s">
        <v>1226</v>
      </c>
      <c r="P512" t="s">
        <v>77</v>
      </c>
      <c r="R512" t="s">
        <v>31</v>
      </c>
      <c r="T512" t="s">
        <v>94</v>
      </c>
      <c r="V512" t="s">
        <v>86</v>
      </c>
      <c r="X512" t="s">
        <v>86</v>
      </c>
      <c r="Z512" t="s">
        <v>77</v>
      </c>
      <c r="AB512" t="s">
        <v>35</v>
      </c>
      <c r="AD512" t="s">
        <v>128</v>
      </c>
      <c r="AF512" t="s">
        <v>1227</v>
      </c>
      <c r="AH512" t="s">
        <v>1291</v>
      </c>
      <c r="AJ512" t="s">
        <v>1292</v>
      </c>
      <c r="AL512">
        <v>10500</v>
      </c>
      <c r="AN512">
        <v>1</v>
      </c>
      <c r="AP512">
        <v>12000</v>
      </c>
      <c r="AR512">
        <v>12000</v>
      </c>
      <c r="AT512" t="s">
        <v>1230</v>
      </c>
      <c r="AU512" t="str">
        <f t="shared" si="7"/>
        <v>Omset lainnya</v>
      </c>
    </row>
    <row r="513" spans="2:47" ht="23.1" customHeight="1">
      <c r="B513" s="9">
        <v>46255</v>
      </c>
      <c r="D513" t="s">
        <v>1293</v>
      </c>
      <c r="F513" t="s">
        <v>1294</v>
      </c>
      <c r="H513" s="9">
        <v>46255</v>
      </c>
      <c r="J513" t="s">
        <v>27</v>
      </c>
      <c r="L513" t="s">
        <v>1238</v>
      </c>
      <c r="N513" t="s">
        <v>76</v>
      </c>
      <c r="P513" t="s">
        <v>77</v>
      </c>
      <c r="R513" t="s">
        <v>173</v>
      </c>
      <c r="T513" t="s">
        <v>32</v>
      </c>
      <c r="V513" t="s">
        <v>33</v>
      </c>
      <c r="X513" t="s">
        <v>33</v>
      </c>
      <c r="Z513" t="s">
        <v>77</v>
      </c>
      <c r="AB513" t="s">
        <v>95</v>
      </c>
      <c r="AD513" t="s">
        <v>1295</v>
      </c>
      <c r="AH513" t="s">
        <v>388</v>
      </c>
      <c r="AJ513" t="s">
        <v>389</v>
      </c>
      <c r="AL513">
        <v>0</v>
      </c>
      <c r="AN513">
        <v>1</v>
      </c>
      <c r="AP513">
        <v>50000</v>
      </c>
      <c r="AR513">
        <v>50000</v>
      </c>
      <c r="AT513" t="s">
        <v>77</v>
      </c>
      <c r="AU513" t="str">
        <f t="shared" si="7"/>
        <v>Omset Normal</v>
      </c>
    </row>
    <row r="514" spans="2:47" ht="23.1" customHeight="1">
      <c r="B514" s="9">
        <v>46256</v>
      </c>
      <c r="D514" t="s">
        <v>1282</v>
      </c>
      <c r="F514" t="s">
        <v>1283</v>
      </c>
      <c r="H514" s="9">
        <v>46254</v>
      </c>
      <c r="J514" t="s">
        <v>27</v>
      </c>
      <c r="L514" t="s">
        <v>1284</v>
      </c>
      <c r="N514" t="s">
        <v>1285</v>
      </c>
      <c r="P514" t="s">
        <v>77</v>
      </c>
      <c r="R514" t="s">
        <v>31</v>
      </c>
      <c r="T514" t="s">
        <v>32</v>
      </c>
      <c r="V514" t="s">
        <v>86</v>
      </c>
      <c r="X514" t="s">
        <v>86</v>
      </c>
      <c r="Z514" t="s">
        <v>57</v>
      </c>
      <c r="AB514" t="s">
        <v>268</v>
      </c>
      <c r="AD514" t="s">
        <v>65</v>
      </c>
      <c r="AF514" t="s">
        <v>771</v>
      </c>
      <c r="AH514" t="s">
        <v>270</v>
      </c>
      <c r="AJ514" t="s">
        <v>271</v>
      </c>
      <c r="AL514">
        <v>0</v>
      </c>
      <c r="AN514">
        <v>1</v>
      </c>
      <c r="AP514">
        <v>115000</v>
      </c>
      <c r="AR514">
        <v>115000</v>
      </c>
      <c r="AT514" t="s">
        <v>64</v>
      </c>
      <c r="AU514" t="str">
        <f t="shared" ref="AU514:AU577" si="8">_xlfn.IFS(ISNUMBER(SEARCH("Interface", AJ514)), "Omset Interface", ISNUMBER(SEARCH("Normal", AJ514)), "Omset Normal", ISNUMBER(SEARCH("Mati Total", AJ514)), "Omset Mati Total", ISNUMBER(SEARCH("Promo", AJ514)), "Omset Promo", TRUE, "Omset lainnya")</f>
        <v>Omset Interface</v>
      </c>
    </row>
    <row r="515" spans="2:47" ht="23.1" customHeight="1">
      <c r="B515" s="9">
        <v>46255</v>
      </c>
      <c r="D515" t="s">
        <v>1296</v>
      </c>
      <c r="F515" t="s">
        <v>1297</v>
      </c>
      <c r="H515" s="9">
        <v>46255</v>
      </c>
      <c r="J515" t="s">
        <v>27</v>
      </c>
      <c r="L515" t="s">
        <v>1298</v>
      </c>
      <c r="N515" t="s">
        <v>1299</v>
      </c>
      <c r="P515" t="s">
        <v>77</v>
      </c>
      <c r="R515" t="s">
        <v>31</v>
      </c>
      <c r="T515" t="s">
        <v>94</v>
      </c>
      <c r="V515" t="s">
        <v>33</v>
      </c>
      <c r="X515" t="s">
        <v>33</v>
      </c>
      <c r="Z515" t="s">
        <v>77</v>
      </c>
      <c r="AB515" t="s">
        <v>35</v>
      </c>
      <c r="AD515" t="s">
        <v>50</v>
      </c>
      <c r="AF515" t="s">
        <v>1300</v>
      </c>
      <c r="AH515" t="s">
        <v>1301</v>
      </c>
      <c r="AJ515" t="s">
        <v>1302</v>
      </c>
      <c r="AL515">
        <v>123500</v>
      </c>
      <c r="AN515">
        <v>1</v>
      </c>
      <c r="AP515">
        <v>136000</v>
      </c>
      <c r="AR515">
        <v>136000</v>
      </c>
      <c r="AT515" t="s">
        <v>77</v>
      </c>
      <c r="AU515" t="str">
        <f t="shared" si="8"/>
        <v>Omset lainnya</v>
      </c>
    </row>
    <row r="516" spans="2:47" ht="23.1" customHeight="1">
      <c r="B516" s="9">
        <v>46256</v>
      </c>
      <c r="D516" t="s">
        <v>1303</v>
      </c>
      <c r="F516" t="s">
        <v>1304</v>
      </c>
      <c r="H516" s="9">
        <v>46256</v>
      </c>
      <c r="J516" t="s">
        <v>27</v>
      </c>
      <c r="L516" t="s">
        <v>1305</v>
      </c>
      <c r="N516" t="s">
        <v>1306</v>
      </c>
      <c r="P516" t="s">
        <v>64</v>
      </c>
      <c r="R516" t="s">
        <v>177</v>
      </c>
      <c r="T516" t="s">
        <v>41</v>
      </c>
      <c r="Z516" t="s">
        <v>64</v>
      </c>
      <c r="AB516" t="s">
        <v>178</v>
      </c>
      <c r="AD516" t="s">
        <v>78</v>
      </c>
      <c r="AH516" t="s">
        <v>1307</v>
      </c>
      <c r="AJ516" t="s">
        <v>1308</v>
      </c>
      <c r="AL516">
        <v>41500</v>
      </c>
      <c r="AN516">
        <v>1</v>
      </c>
      <c r="AP516">
        <v>61000</v>
      </c>
      <c r="AR516">
        <v>61000</v>
      </c>
      <c r="AT516" t="s">
        <v>64</v>
      </c>
      <c r="AU516" t="str">
        <f t="shared" si="8"/>
        <v>Omset lainnya</v>
      </c>
    </row>
    <row r="517" spans="2:47" ht="23.1" customHeight="1">
      <c r="B517" s="9">
        <v>46256</v>
      </c>
      <c r="D517" t="s">
        <v>1309</v>
      </c>
      <c r="F517" t="s">
        <v>1310</v>
      </c>
      <c r="H517" s="9">
        <v>46256</v>
      </c>
      <c r="J517" t="s">
        <v>27</v>
      </c>
      <c r="L517" t="s">
        <v>1311</v>
      </c>
      <c r="N517" t="s">
        <v>775</v>
      </c>
      <c r="P517" t="s">
        <v>64</v>
      </c>
      <c r="R517" t="s">
        <v>31</v>
      </c>
      <c r="T517" t="s">
        <v>32</v>
      </c>
      <c r="V517" t="s">
        <v>127</v>
      </c>
      <c r="X517" t="s">
        <v>127</v>
      </c>
      <c r="Z517" t="s">
        <v>64</v>
      </c>
      <c r="AB517" t="s">
        <v>35</v>
      </c>
      <c r="AD517" t="s">
        <v>65</v>
      </c>
      <c r="AF517" t="s">
        <v>501</v>
      </c>
      <c r="AH517" t="s">
        <v>38</v>
      </c>
      <c r="AJ517" t="s">
        <v>39</v>
      </c>
      <c r="AL517">
        <v>0</v>
      </c>
      <c r="AN517">
        <v>1</v>
      </c>
      <c r="AP517">
        <v>45000</v>
      </c>
      <c r="AR517">
        <v>45000</v>
      </c>
      <c r="AT517" t="s">
        <v>64</v>
      </c>
      <c r="AU517" t="str">
        <f t="shared" si="8"/>
        <v>Omset Interface</v>
      </c>
    </row>
    <row r="518" spans="2:47" ht="23.1" customHeight="1">
      <c r="B518" s="9">
        <v>46256</v>
      </c>
      <c r="D518" t="s">
        <v>1309</v>
      </c>
      <c r="F518" t="s">
        <v>1310</v>
      </c>
      <c r="H518" s="9">
        <v>46256</v>
      </c>
      <c r="J518" t="s">
        <v>27</v>
      </c>
      <c r="L518" t="s">
        <v>1311</v>
      </c>
      <c r="N518" t="s">
        <v>775</v>
      </c>
      <c r="P518" t="s">
        <v>64</v>
      </c>
      <c r="R518" t="s">
        <v>31</v>
      </c>
      <c r="T518" t="s">
        <v>41</v>
      </c>
      <c r="V518" t="s">
        <v>127</v>
      </c>
      <c r="X518" t="s">
        <v>127</v>
      </c>
      <c r="Z518" t="s">
        <v>64</v>
      </c>
      <c r="AB518" t="s">
        <v>35</v>
      </c>
      <c r="AD518" t="s">
        <v>65</v>
      </c>
      <c r="AF518" t="s">
        <v>501</v>
      </c>
      <c r="AH518" t="s">
        <v>42</v>
      </c>
      <c r="AJ518" t="s">
        <v>43</v>
      </c>
      <c r="AL518">
        <v>17450</v>
      </c>
      <c r="AN518">
        <v>1</v>
      </c>
      <c r="AP518">
        <v>20000</v>
      </c>
      <c r="AR518">
        <v>20000</v>
      </c>
      <c r="AT518" t="s">
        <v>64</v>
      </c>
      <c r="AU518" t="str">
        <f t="shared" si="8"/>
        <v>Omset lainnya</v>
      </c>
    </row>
    <row r="519" spans="2:47" ht="23.1" customHeight="1">
      <c r="B519" s="9">
        <v>46256</v>
      </c>
      <c r="D519" t="s">
        <v>1276</v>
      </c>
      <c r="F519" t="s">
        <v>1277</v>
      </c>
      <c r="H519" s="9">
        <v>46255</v>
      </c>
      <c r="J519" t="s">
        <v>27</v>
      </c>
      <c r="L519" t="s">
        <v>1278</v>
      </c>
      <c r="N519" t="s">
        <v>1110</v>
      </c>
      <c r="P519" t="s">
        <v>64</v>
      </c>
      <c r="R519" t="s">
        <v>31</v>
      </c>
      <c r="T519" t="s">
        <v>32</v>
      </c>
      <c r="V519" t="s">
        <v>86</v>
      </c>
      <c r="X519" t="s">
        <v>86</v>
      </c>
      <c r="Z519" t="s">
        <v>77</v>
      </c>
      <c r="AB519" t="s">
        <v>268</v>
      </c>
      <c r="AD519" t="s">
        <v>112</v>
      </c>
      <c r="AF519" t="s">
        <v>1279</v>
      </c>
      <c r="AH519" t="s">
        <v>270</v>
      </c>
      <c r="AJ519" t="s">
        <v>271</v>
      </c>
      <c r="AL519">
        <v>0</v>
      </c>
      <c r="AN519">
        <v>1</v>
      </c>
      <c r="AP519">
        <v>50000</v>
      </c>
      <c r="AR519">
        <v>50000</v>
      </c>
      <c r="AT519" t="s">
        <v>64</v>
      </c>
      <c r="AU519" t="str">
        <f t="shared" si="8"/>
        <v>Omset Interface</v>
      </c>
    </row>
    <row r="520" spans="2:47" ht="23.1" customHeight="1">
      <c r="B520" s="9">
        <v>46256</v>
      </c>
      <c r="D520" t="s">
        <v>1276</v>
      </c>
      <c r="F520" t="s">
        <v>1277</v>
      </c>
      <c r="H520" s="9">
        <v>46255</v>
      </c>
      <c r="J520" t="s">
        <v>27</v>
      </c>
      <c r="L520" t="s">
        <v>1278</v>
      </c>
      <c r="N520" t="s">
        <v>1110</v>
      </c>
      <c r="P520" t="s">
        <v>64</v>
      </c>
      <c r="R520" t="s">
        <v>31</v>
      </c>
      <c r="T520" t="s">
        <v>41</v>
      </c>
      <c r="V520" t="s">
        <v>86</v>
      </c>
      <c r="X520" t="s">
        <v>86</v>
      </c>
      <c r="Z520" t="s">
        <v>77</v>
      </c>
      <c r="AB520" t="s">
        <v>268</v>
      </c>
      <c r="AD520" t="s">
        <v>112</v>
      </c>
      <c r="AF520" t="s">
        <v>1279</v>
      </c>
      <c r="AH520" t="s">
        <v>42</v>
      </c>
      <c r="AJ520" t="s">
        <v>43</v>
      </c>
      <c r="AL520">
        <v>17450</v>
      </c>
      <c r="AN520">
        <v>1</v>
      </c>
      <c r="AP520">
        <v>20000</v>
      </c>
      <c r="AR520">
        <v>20000</v>
      </c>
      <c r="AT520" t="s">
        <v>64</v>
      </c>
      <c r="AU520" t="str">
        <f t="shared" si="8"/>
        <v>Omset lainnya</v>
      </c>
    </row>
    <row r="521" spans="2:47" ht="23.1" customHeight="1">
      <c r="B521" s="9">
        <v>46254</v>
      </c>
      <c r="D521" t="s">
        <v>1212</v>
      </c>
      <c r="F521" t="s">
        <v>1213</v>
      </c>
      <c r="H521" s="9">
        <v>46252</v>
      </c>
      <c r="J521" t="s">
        <v>27</v>
      </c>
      <c r="L521" t="s">
        <v>1214</v>
      </c>
      <c r="N521" t="s">
        <v>1215</v>
      </c>
      <c r="P521" t="s">
        <v>57</v>
      </c>
      <c r="R521" t="s">
        <v>31</v>
      </c>
      <c r="T521" t="s">
        <v>94</v>
      </c>
      <c r="V521" t="s">
        <v>33</v>
      </c>
      <c r="X521" t="s">
        <v>33</v>
      </c>
      <c r="Z521" t="s">
        <v>77</v>
      </c>
      <c r="AB521" t="s">
        <v>95</v>
      </c>
      <c r="AD521" t="s">
        <v>50</v>
      </c>
      <c r="AF521" t="s">
        <v>1216</v>
      </c>
      <c r="AH521" t="s">
        <v>1312</v>
      </c>
      <c r="AJ521" t="s">
        <v>1313</v>
      </c>
      <c r="AL521">
        <v>150000</v>
      </c>
      <c r="AN521">
        <v>1</v>
      </c>
      <c r="AP521">
        <v>165000</v>
      </c>
      <c r="AR521">
        <v>165000</v>
      </c>
      <c r="AT521" t="s">
        <v>57</v>
      </c>
      <c r="AU521" t="str">
        <f t="shared" si="8"/>
        <v>Omset lainnya</v>
      </c>
    </row>
    <row r="522" spans="2:47" ht="23.1" customHeight="1">
      <c r="B522" s="9">
        <v>46254</v>
      </c>
      <c r="D522" t="s">
        <v>1207</v>
      </c>
      <c r="F522" t="s">
        <v>1208</v>
      </c>
      <c r="H522" s="9">
        <v>46254</v>
      </c>
      <c r="J522" t="s">
        <v>27</v>
      </c>
      <c r="L522" t="s">
        <v>1209</v>
      </c>
      <c r="N522" t="s">
        <v>1210</v>
      </c>
      <c r="P522" t="s">
        <v>57</v>
      </c>
      <c r="R522" t="s">
        <v>31</v>
      </c>
      <c r="T522" t="s">
        <v>32</v>
      </c>
      <c r="V522" t="s">
        <v>49</v>
      </c>
      <c r="X522" t="s">
        <v>49</v>
      </c>
      <c r="Z522" t="s">
        <v>57</v>
      </c>
      <c r="AB522" t="s">
        <v>35</v>
      </c>
      <c r="AD522" t="s">
        <v>50</v>
      </c>
      <c r="AF522" t="s">
        <v>1211</v>
      </c>
      <c r="AH522" t="s">
        <v>38</v>
      </c>
      <c r="AJ522" t="s">
        <v>39</v>
      </c>
      <c r="AL522">
        <v>0</v>
      </c>
      <c r="AN522">
        <v>1</v>
      </c>
      <c r="AP522">
        <v>147000</v>
      </c>
      <c r="AR522">
        <v>147000</v>
      </c>
      <c r="AT522" t="s">
        <v>57</v>
      </c>
      <c r="AU522" t="str">
        <f t="shared" si="8"/>
        <v>Omset Interface</v>
      </c>
    </row>
    <row r="523" spans="2:47" ht="14.1" customHeight="1">
      <c r="B523" s="9">
        <v>46254</v>
      </c>
      <c r="D523" t="s">
        <v>1195</v>
      </c>
      <c r="F523" t="s">
        <v>1196</v>
      </c>
      <c r="H523" s="9">
        <v>46254</v>
      </c>
      <c r="J523" t="s">
        <v>27</v>
      </c>
      <c r="L523" t="s">
        <v>1197</v>
      </c>
      <c r="N523" t="s">
        <v>1198</v>
      </c>
      <c r="P523" t="s">
        <v>77</v>
      </c>
      <c r="R523" t="s">
        <v>31</v>
      </c>
      <c r="T523" t="s">
        <v>94</v>
      </c>
      <c r="V523" t="s">
        <v>49</v>
      </c>
      <c r="X523" t="s">
        <v>49</v>
      </c>
      <c r="Z523" t="s">
        <v>77</v>
      </c>
      <c r="AB523" t="s">
        <v>35</v>
      </c>
      <c r="AD523" t="s">
        <v>87</v>
      </c>
      <c r="AF523" t="s">
        <v>805</v>
      </c>
      <c r="AH523" t="s">
        <v>1314</v>
      </c>
      <c r="AJ523" t="s">
        <v>1315</v>
      </c>
      <c r="AL523">
        <v>178500</v>
      </c>
      <c r="AN523">
        <v>1</v>
      </c>
      <c r="AP523">
        <v>197000</v>
      </c>
      <c r="AR523">
        <v>197000</v>
      </c>
      <c r="AU523" t="str">
        <f t="shared" si="8"/>
        <v>Omset lainnya</v>
      </c>
    </row>
    <row r="524" spans="2:47" ht="23.1" customHeight="1">
      <c r="B524" s="9">
        <v>46254</v>
      </c>
      <c r="D524" t="s">
        <v>1199</v>
      </c>
      <c r="F524" t="s">
        <v>1200</v>
      </c>
      <c r="H524" s="9">
        <v>46254</v>
      </c>
      <c r="J524" t="s">
        <v>27</v>
      </c>
      <c r="L524" t="s">
        <v>1201</v>
      </c>
      <c r="N524" t="s">
        <v>722</v>
      </c>
      <c r="P524" t="s">
        <v>77</v>
      </c>
      <c r="R524" t="s">
        <v>31</v>
      </c>
      <c r="T524" t="s">
        <v>94</v>
      </c>
      <c r="V524" t="s">
        <v>86</v>
      </c>
      <c r="X524" t="s">
        <v>86</v>
      </c>
      <c r="Z524" t="s">
        <v>77</v>
      </c>
      <c r="AB524" t="s">
        <v>35</v>
      </c>
      <c r="AD524" t="s">
        <v>87</v>
      </c>
      <c r="AF524" t="s">
        <v>1202</v>
      </c>
      <c r="AH524" t="s">
        <v>1316</v>
      </c>
      <c r="AJ524" t="s">
        <v>1317</v>
      </c>
      <c r="AL524">
        <v>256000</v>
      </c>
      <c r="AN524">
        <v>1</v>
      </c>
      <c r="AP524">
        <v>282000</v>
      </c>
      <c r="AR524">
        <v>282000</v>
      </c>
      <c r="AU524" t="str">
        <f t="shared" si="8"/>
        <v>Omset lainnya</v>
      </c>
    </row>
    <row r="525" spans="2:47" ht="23.1" customHeight="1">
      <c r="B525" s="9">
        <v>46255</v>
      </c>
      <c r="D525" t="s">
        <v>1318</v>
      </c>
      <c r="F525" t="s">
        <v>1319</v>
      </c>
      <c r="H525" s="9">
        <v>46255</v>
      </c>
      <c r="J525" t="s">
        <v>27</v>
      </c>
      <c r="L525" t="s">
        <v>1320</v>
      </c>
      <c r="N525" t="s">
        <v>1321</v>
      </c>
      <c r="P525" t="s">
        <v>77</v>
      </c>
      <c r="R525" t="s">
        <v>31</v>
      </c>
      <c r="T525" t="s">
        <v>32</v>
      </c>
      <c r="V525" t="s">
        <v>49</v>
      </c>
      <c r="X525" t="s">
        <v>49</v>
      </c>
      <c r="Z525" t="s">
        <v>77</v>
      </c>
      <c r="AB525" t="s">
        <v>268</v>
      </c>
      <c r="AD525" t="s">
        <v>87</v>
      </c>
      <c r="AF525" t="s">
        <v>1322</v>
      </c>
      <c r="AH525" t="s">
        <v>270</v>
      </c>
      <c r="AJ525" t="s">
        <v>271</v>
      </c>
      <c r="AL525">
        <v>0</v>
      </c>
      <c r="AN525">
        <v>1</v>
      </c>
      <c r="AP525">
        <v>42000</v>
      </c>
      <c r="AR525">
        <v>42000</v>
      </c>
      <c r="AT525" t="s">
        <v>77</v>
      </c>
      <c r="AU525" t="str">
        <f t="shared" si="8"/>
        <v>Omset Interface</v>
      </c>
    </row>
    <row r="526" spans="2:47" ht="23.1" customHeight="1">
      <c r="B526" s="9">
        <v>46255</v>
      </c>
      <c r="D526" t="s">
        <v>1318</v>
      </c>
      <c r="F526" t="s">
        <v>1319</v>
      </c>
      <c r="H526" s="9">
        <v>46255</v>
      </c>
      <c r="J526" t="s">
        <v>27</v>
      </c>
      <c r="L526" t="s">
        <v>1320</v>
      </c>
      <c r="N526" t="s">
        <v>1321</v>
      </c>
      <c r="P526" t="s">
        <v>77</v>
      </c>
      <c r="R526" t="s">
        <v>31</v>
      </c>
      <c r="T526" t="s">
        <v>41</v>
      </c>
      <c r="V526" t="s">
        <v>49</v>
      </c>
      <c r="X526" t="s">
        <v>49</v>
      </c>
      <c r="Z526" t="s">
        <v>77</v>
      </c>
      <c r="AB526" t="s">
        <v>268</v>
      </c>
      <c r="AD526" t="s">
        <v>87</v>
      </c>
      <c r="AF526" t="s">
        <v>1322</v>
      </c>
      <c r="AH526" t="s">
        <v>296</v>
      </c>
      <c r="AJ526" t="s">
        <v>297</v>
      </c>
      <c r="AL526">
        <v>19300</v>
      </c>
      <c r="AN526">
        <v>1</v>
      </c>
      <c r="AP526">
        <v>20000</v>
      </c>
      <c r="AR526">
        <v>20000</v>
      </c>
      <c r="AT526" t="s">
        <v>77</v>
      </c>
      <c r="AU526" t="str">
        <f t="shared" si="8"/>
        <v>Omset lainnya</v>
      </c>
    </row>
    <row r="527" spans="2:47" ht="23.1" customHeight="1">
      <c r="B527" s="9">
        <v>46255</v>
      </c>
      <c r="D527" t="s">
        <v>1318</v>
      </c>
      <c r="F527" t="s">
        <v>1319</v>
      </c>
      <c r="H527" s="9">
        <v>46255</v>
      </c>
      <c r="J527" t="s">
        <v>27</v>
      </c>
      <c r="L527" t="s">
        <v>1320</v>
      </c>
      <c r="N527" t="s">
        <v>1321</v>
      </c>
      <c r="P527" t="s">
        <v>77</v>
      </c>
      <c r="R527" t="s">
        <v>31</v>
      </c>
      <c r="T527" t="s">
        <v>41</v>
      </c>
      <c r="V527" t="s">
        <v>49</v>
      </c>
      <c r="X527" t="s">
        <v>49</v>
      </c>
      <c r="Z527" t="s">
        <v>77</v>
      </c>
      <c r="AB527" t="s">
        <v>268</v>
      </c>
      <c r="AD527" t="s">
        <v>87</v>
      </c>
      <c r="AF527" t="s">
        <v>1322</v>
      </c>
      <c r="AH527" t="s">
        <v>289</v>
      </c>
      <c r="AJ527" t="s">
        <v>290</v>
      </c>
      <c r="AL527">
        <v>76000</v>
      </c>
      <c r="AN527">
        <v>1</v>
      </c>
      <c r="AP527">
        <v>125000</v>
      </c>
      <c r="AR527">
        <v>125000</v>
      </c>
      <c r="AT527" t="s">
        <v>77</v>
      </c>
      <c r="AU527" t="str">
        <f t="shared" si="8"/>
        <v>Omset lainnya</v>
      </c>
    </row>
    <row r="528" spans="2:47" ht="23.1" customHeight="1">
      <c r="B528" s="9">
        <v>46255</v>
      </c>
      <c r="D528" t="s">
        <v>1296</v>
      </c>
      <c r="F528" t="s">
        <v>1297</v>
      </c>
      <c r="H528" s="9">
        <v>46255</v>
      </c>
      <c r="J528" t="s">
        <v>27</v>
      </c>
      <c r="L528" t="s">
        <v>1298</v>
      </c>
      <c r="N528" t="s">
        <v>1299</v>
      </c>
      <c r="P528" t="s">
        <v>77</v>
      </c>
      <c r="R528" t="s">
        <v>31</v>
      </c>
      <c r="T528" t="s">
        <v>32</v>
      </c>
      <c r="V528" t="s">
        <v>33</v>
      </c>
      <c r="X528" t="s">
        <v>33</v>
      </c>
      <c r="Z528" t="s">
        <v>77</v>
      </c>
      <c r="AB528" t="s">
        <v>35</v>
      </c>
      <c r="AD528" t="s">
        <v>50</v>
      </c>
      <c r="AF528" t="s">
        <v>1300</v>
      </c>
      <c r="AH528" t="s">
        <v>38</v>
      </c>
      <c r="AJ528" t="s">
        <v>39</v>
      </c>
      <c r="AL528">
        <v>0</v>
      </c>
      <c r="AN528">
        <v>1</v>
      </c>
      <c r="AP528">
        <v>144000</v>
      </c>
      <c r="AR528">
        <v>144000</v>
      </c>
      <c r="AT528" t="s">
        <v>77</v>
      </c>
      <c r="AU528" t="str">
        <f t="shared" si="8"/>
        <v>Omset Interface</v>
      </c>
    </row>
    <row r="529" spans="2:47" ht="23.1" customHeight="1">
      <c r="B529" s="9">
        <v>46255</v>
      </c>
      <c r="D529" t="s">
        <v>1296</v>
      </c>
      <c r="F529" t="s">
        <v>1297</v>
      </c>
      <c r="H529" s="9">
        <v>46255</v>
      </c>
      <c r="J529" t="s">
        <v>27</v>
      </c>
      <c r="L529" t="s">
        <v>1298</v>
      </c>
      <c r="N529" t="s">
        <v>1299</v>
      </c>
      <c r="P529" t="s">
        <v>77</v>
      </c>
      <c r="R529" t="s">
        <v>31</v>
      </c>
      <c r="T529" t="s">
        <v>41</v>
      </c>
      <c r="V529" t="s">
        <v>33</v>
      </c>
      <c r="X529" t="s">
        <v>33</v>
      </c>
      <c r="Z529" t="s">
        <v>77</v>
      </c>
      <c r="AB529" t="s">
        <v>35</v>
      </c>
      <c r="AD529" t="s">
        <v>50</v>
      </c>
      <c r="AF529" t="s">
        <v>1300</v>
      </c>
      <c r="AH529" t="s">
        <v>296</v>
      </c>
      <c r="AJ529" t="s">
        <v>297</v>
      </c>
      <c r="AL529">
        <v>19300</v>
      </c>
      <c r="AN529">
        <v>1</v>
      </c>
      <c r="AP529">
        <v>20000</v>
      </c>
      <c r="AR529">
        <v>20000</v>
      </c>
      <c r="AT529" t="s">
        <v>77</v>
      </c>
      <c r="AU529" t="str">
        <f t="shared" si="8"/>
        <v>Omset lainnya</v>
      </c>
    </row>
    <row r="530" spans="2:47" ht="23.1" customHeight="1">
      <c r="B530" s="9">
        <v>46255</v>
      </c>
      <c r="D530" t="s">
        <v>1270</v>
      </c>
      <c r="F530" t="s">
        <v>1271</v>
      </c>
      <c r="H530" s="9">
        <v>46255</v>
      </c>
      <c r="J530" t="s">
        <v>27</v>
      </c>
      <c r="L530" t="s">
        <v>1272</v>
      </c>
      <c r="N530" t="s">
        <v>1273</v>
      </c>
      <c r="P530" t="s">
        <v>77</v>
      </c>
      <c r="R530" t="s">
        <v>31</v>
      </c>
      <c r="T530" t="s">
        <v>32</v>
      </c>
      <c r="V530" t="s">
        <v>49</v>
      </c>
      <c r="X530" t="s">
        <v>49</v>
      </c>
      <c r="Z530" t="s">
        <v>77</v>
      </c>
      <c r="AB530" t="s">
        <v>268</v>
      </c>
      <c r="AD530" t="s">
        <v>65</v>
      </c>
      <c r="AF530" t="s">
        <v>467</v>
      </c>
      <c r="AH530" t="s">
        <v>270</v>
      </c>
      <c r="AJ530" t="s">
        <v>271</v>
      </c>
      <c r="AL530">
        <v>0</v>
      </c>
      <c r="AN530">
        <v>1</v>
      </c>
      <c r="AP530">
        <v>293000</v>
      </c>
      <c r="AR530">
        <v>293000</v>
      </c>
      <c r="AT530" t="s">
        <v>77</v>
      </c>
      <c r="AU530" t="str">
        <f t="shared" si="8"/>
        <v>Omset Interface</v>
      </c>
    </row>
    <row r="531" spans="2:47" ht="14.1" customHeight="1">
      <c r="B531" s="9">
        <v>46255</v>
      </c>
      <c r="D531" t="s">
        <v>1270</v>
      </c>
      <c r="F531" t="s">
        <v>1271</v>
      </c>
      <c r="H531" s="9">
        <v>46255</v>
      </c>
      <c r="J531" t="s">
        <v>27</v>
      </c>
      <c r="L531" t="s">
        <v>1272</v>
      </c>
      <c r="N531" t="s">
        <v>1273</v>
      </c>
      <c r="P531" t="s">
        <v>77</v>
      </c>
      <c r="R531" t="s">
        <v>31</v>
      </c>
      <c r="T531" t="s">
        <v>41</v>
      </c>
      <c r="V531" t="s">
        <v>49</v>
      </c>
      <c r="X531" t="s">
        <v>49</v>
      </c>
      <c r="Z531" t="s">
        <v>77</v>
      </c>
      <c r="AB531" t="s">
        <v>268</v>
      </c>
      <c r="AD531" t="s">
        <v>65</v>
      </c>
      <c r="AF531" t="s">
        <v>467</v>
      </c>
      <c r="AH531" t="s">
        <v>296</v>
      </c>
      <c r="AJ531" t="s">
        <v>297</v>
      </c>
      <c r="AL531">
        <v>19300</v>
      </c>
      <c r="AN531">
        <v>1</v>
      </c>
      <c r="AP531">
        <v>20000</v>
      </c>
      <c r="AR531">
        <v>20000</v>
      </c>
      <c r="AT531" t="s">
        <v>77</v>
      </c>
      <c r="AU531" t="str">
        <f t="shared" si="8"/>
        <v>Omset lainnya</v>
      </c>
    </row>
    <row r="532" spans="2:47" ht="23.1" customHeight="1">
      <c r="B532" s="9">
        <v>46255</v>
      </c>
      <c r="D532" t="s">
        <v>1265</v>
      </c>
      <c r="F532" t="s">
        <v>1266</v>
      </c>
      <c r="H532" s="9">
        <v>46255</v>
      </c>
      <c r="J532" t="s">
        <v>27</v>
      </c>
      <c r="L532" t="s">
        <v>1257</v>
      </c>
      <c r="N532" t="s">
        <v>1258</v>
      </c>
      <c r="P532" t="s">
        <v>64</v>
      </c>
      <c r="R532" t="s">
        <v>31</v>
      </c>
      <c r="T532" t="s">
        <v>32</v>
      </c>
      <c r="V532" t="s">
        <v>49</v>
      </c>
      <c r="X532" t="s">
        <v>49</v>
      </c>
      <c r="Z532" t="s">
        <v>64</v>
      </c>
      <c r="AB532" t="s">
        <v>186</v>
      </c>
      <c r="AD532" t="s">
        <v>50</v>
      </c>
      <c r="AF532" t="s">
        <v>1267</v>
      </c>
      <c r="AH532" t="s">
        <v>114</v>
      </c>
      <c r="AJ532" t="s">
        <v>115</v>
      </c>
      <c r="AL532">
        <v>0</v>
      </c>
      <c r="AN532">
        <v>1</v>
      </c>
      <c r="AP532">
        <v>45000</v>
      </c>
      <c r="AR532">
        <v>45000</v>
      </c>
      <c r="AT532" t="s">
        <v>64</v>
      </c>
      <c r="AU532" t="str">
        <f t="shared" si="8"/>
        <v>Omset Normal</v>
      </c>
    </row>
    <row r="533" spans="2:47" ht="23.1" customHeight="1">
      <c r="B533" s="9">
        <v>46255</v>
      </c>
      <c r="D533" t="s">
        <v>1265</v>
      </c>
      <c r="F533" t="s">
        <v>1266</v>
      </c>
      <c r="H533" s="9">
        <v>46255</v>
      </c>
      <c r="J533" t="s">
        <v>27</v>
      </c>
      <c r="L533" t="s">
        <v>1257</v>
      </c>
      <c r="N533" t="s">
        <v>1258</v>
      </c>
      <c r="P533" t="s">
        <v>64</v>
      </c>
      <c r="R533" t="s">
        <v>31</v>
      </c>
      <c r="T533" t="s">
        <v>41</v>
      </c>
      <c r="V533" t="s">
        <v>49</v>
      </c>
      <c r="X533" t="s">
        <v>49</v>
      </c>
      <c r="Z533" t="s">
        <v>64</v>
      </c>
      <c r="AB533" t="s">
        <v>186</v>
      </c>
      <c r="AD533" t="s">
        <v>50</v>
      </c>
      <c r="AF533" t="s">
        <v>1267</v>
      </c>
      <c r="AH533" t="s">
        <v>296</v>
      </c>
      <c r="AJ533" t="s">
        <v>297</v>
      </c>
      <c r="AL533">
        <v>19300</v>
      </c>
      <c r="AN533">
        <v>1</v>
      </c>
      <c r="AP533">
        <v>20000</v>
      </c>
      <c r="AR533">
        <v>20000</v>
      </c>
      <c r="AT533" t="s">
        <v>64</v>
      </c>
      <c r="AU533" t="str">
        <f t="shared" si="8"/>
        <v>Omset lainnya</v>
      </c>
    </row>
    <row r="534" spans="2:47" ht="23.1" customHeight="1">
      <c r="B534" s="9">
        <v>46255</v>
      </c>
      <c r="D534" t="s">
        <v>130</v>
      </c>
      <c r="F534" t="s">
        <v>131</v>
      </c>
      <c r="H534" s="9">
        <v>46236</v>
      </c>
      <c r="J534" t="s">
        <v>54</v>
      </c>
      <c r="L534" t="s">
        <v>132</v>
      </c>
      <c r="N534" t="s">
        <v>133</v>
      </c>
      <c r="P534" t="s">
        <v>77</v>
      </c>
      <c r="R534" t="s">
        <v>31</v>
      </c>
      <c r="T534" t="s">
        <v>32</v>
      </c>
      <c r="V534" t="s">
        <v>49</v>
      </c>
      <c r="X534" t="s">
        <v>49</v>
      </c>
      <c r="Z534" t="s">
        <v>64</v>
      </c>
      <c r="AB534" t="s">
        <v>35</v>
      </c>
      <c r="AD534" t="s">
        <v>36</v>
      </c>
      <c r="AF534" t="s">
        <v>134</v>
      </c>
      <c r="AH534" t="s">
        <v>746</v>
      </c>
      <c r="AJ534" t="s">
        <v>747</v>
      </c>
      <c r="AL534">
        <v>0</v>
      </c>
      <c r="AN534">
        <v>1</v>
      </c>
      <c r="AP534">
        <v>10000</v>
      </c>
      <c r="AR534">
        <v>10000</v>
      </c>
      <c r="AU534" t="str">
        <f t="shared" si="8"/>
        <v>Omset Normal</v>
      </c>
    </row>
    <row r="535" spans="2:47" ht="23.1" customHeight="1">
      <c r="B535" s="9">
        <v>46256</v>
      </c>
      <c r="D535" t="s">
        <v>1282</v>
      </c>
      <c r="F535" t="s">
        <v>1283</v>
      </c>
      <c r="H535" s="9">
        <v>46254</v>
      </c>
      <c r="J535" t="s">
        <v>27</v>
      </c>
      <c r="L535" t="s">
        <v>1284</v>
      </c>
      <c r="N535" t="s">
        <v>1285</v>
      </c>
      <c r="P535" t="s">
        <v>77</v>
      </c>
      <c r="R535" t="s">
        <v>31</v>
      </c>
      <c r="T535" t="s">
        <v>94</v>
      </c>
      <c r="V535" t="s">
        <v>86</v>
      </c>
      <c r="X535" t="s">
        <v>86</v>
      </c>
      <c r="Z535" t="s">
        <v>57</v>
      </c>
      <c r="AB535" t="s">
        <v>268</v>
      </c>
      <c r="AD535" t="s">
        <v>65</v>
      </c>
      <c r="AF535" t="s">
        <v>771</v>
      </c>
      <c r="AH535" t="s">
        <v>711</v>
      </c>
      <c r="AJ535" t="s">
        <v>712</v>
      </c>
      <c r="AL535">
        <v>135000</v>
      </c>
      <c r="AN535">
        <v>1</v>
      </c>
      <c r="AP535">
        <v>170000</v>
      </c>
      <c r="AR535">
        <v>170000</v>
      </c>
      <c r="AT535" t="s">
        <v>64</v>
      </c>
      <c r="AU535" t="str">
        <f t="shared" si="8"/>
        <v>Omset lainnya</v>
      </c>
    </row>
    <row r="536" spans="2:47" ht="23.1" customHeight="1">
      <c r="B536" s="9">
        <v>46255</v>
      </c>
      <c r="D536" t="s">
        <v>1318</v>
      </c>
      <c r="F536" t="s">
        <v>1319</v>
      </c>
      <c r="H536" s="9">
        <v>46255</v>
      </c>
      <c r="J536" t="s">
        <v>27</v>
      </c>
      <c r="L536" t="s">
        <v>1320</v>
      </c>
      <c r="N536" t="s">
        <v>1321</v>
      </c>
      <c r="P536" t="s">
        <v>77</v>
      </c>
      <c r="R536" t="s">
        <v>31</v>
      </c>
      <c r="T536" t="s">
        <v>94</v>
      </c>
      <c r="V536" t="s">
        <v>49</v>
      </c>
      <c r="X536" t="s">
        <v>49</v>
      </c>
      <c r="Z536" t="s">
        <v>77</v>
      </c>
      <c r="AB536" t="s">
        <v>268</v>
      </c>
      <c r="AD536" t="s">
        <v>87</v>
      </c>
      <c r="AF536" t="s">
        <v>1322</v>
      </c>
      <c r="AH536" t="s">
        <v>1323</v>
      </c>
      <c r="AJ536" t="s">
        <v>1324</v>
      </c>
      <c r="AL536">
        <v>138500</v>
      </c>
      <c r="AN536">
        <v>1</v>
      </c>
      <c r="AP536">
        <v>153000</v>
      </c>
      <c r="AR536">
        <v>153000</v>
      </c>
      <c r="AT536" t="s">
        <v>77</v>
      </c>
      <c r="AU536" t="str">
        <f t="shared" si="8"/>
        <v>Omset lainnya</v>
      </c>
    </row>
    <row r="537" spans="2:47" ht="23.1" customHeight="1">
      <c r="B537" s="9">
        <v>46255</v>
      </c>
      <c r="D537" t="s">
        <v>130</v>
      </c>
      <c r="F537" t="s">
        <v>131</v>
      </c>
      <c r="H537" s="9">
        <v>46236</v>
      </c>
      <c r="J537" t="s">
        <v>54</v>
      </c>
      <c r="L537" t="s">
        <v>132</v>
      </c>
      <c r="N537" t="s">
        <v>133</v>
      </c>
      <c r="P537" t="s">
        <v>77</v>
      </c>
      <c r="R537" t="s">
        <v>31</v>
      </c>
      <c r="T537" t="s">
        <v>94</v>
      </c>
      <c r="V537" t="s">
        <v>49</v>
      </c>
      <c r="X537" t="s">
        <v>49</v>
      </c>
      <c r="Z537" t="s">
        <v>64</v>
      </c>
      <c r="AB537" t="s">
        <v>35</v>
      </c>
      <c r="AD537" t="s">
        <v>36</v>
      </c>
      <c r="AF537" t="s">
        <v>134</v>
      </c>
      <c r="AH537" t="s">
        <v>1325</v>
      </c>
      <c r="AJ537" t="s">
        <v>1326</v>
      </c>
      <c r="AL537">
        <v>180750</v>
      </c>
      <c r="AN537">
        <v>1</v>
      </c>
      <c r="AP537">
        <v>185000</v>
      </c>
      <c r="AR537">
        <v>185000</v>
      </c>
      <c r="AU537" t="str">
        <f t="shared" si="8"/>
        <v>Omset lainnya</v>
      </c>
    </row>
    <row r="538" spans="2:47" ht="23.1" customHeight="1">
      <c r="B538" s="9">
        <v>46256</v>
      </c>
      <c r="D538" t="s">
        <v>1327</v>
      </c>
      <c r="F538" t="s">
        <v>1328</v>
      </c>
      <c r="H538" s="9">
        <v>46256</v>
      </c>
      <c r="J538" t="s">
        <v>27</v>
      </c>
      <c r="L538" t="s">
        <v>1329</v>
      </c>
      <c r="N538" t="s">
        <v>1330</v>
      </c>
      <c r="P538" t="s">
        <v>64</v>
      </c>
      <c r="R538" t="s">
        <v>31</v>
      </c>
      <c r="T538" t="s">
        <v>32</v>
      </c>
      <c r="V538" t="s">
        <v>86</v>
      </c>
      <c r="X538" t="s">
        <v>86</v>
      </c>
      <c r="Z538" t="s">
        <v>64</v>
      </c>
      <c r="AB538" t="s">
        <v>111</v>
      </c>
      <c r="AD538" t="s">
        <v>36</v>
      </c>
      <c r="AF538" t="s">
        <v>912</v>
      </c>
      <c r="AH538" t="s">
        <v>236</v>
      </c>
      <c r="AJ538" t="s">
        <v>237</v>
      </c>
      <c r="AL538">
        <v>0</v>
      </c>
      <c r="AN538">
        <v>1</v>
      </c>
      <c r="AP538">
        <v>100000</v>
      </c>
      <c r="AR538">
        <v>100000</v>
      </c>
      <c r="AT538" t="s">
        <v>64</v>
      </c>
      <c r="AU538" t="str">
        <f t="shared" si="8"/>
        <v>Omset Normal</v>
      </c>
    </row>
    <row r="539" spans="2:47" ht="23.1" customHeight="1">
      <c r="B539" s="9">
        <v>46256</v>
      </c>
      <c r="D539" t="s">
        <v>1331</v>
      </c>
      <c r="F539" t="s">
        <v>1332</v>
      </c>
      <c r="H539" s="9">
        <v>46256</v>
      </c>
      <c r="J539" t="s">
        <v>27</v>
      </c>
      <c r="L539" t="s">
        <v>1333</v>
      </c>
      <c r="N539" t="s">
        <v>1334</v>
      </c>
      <c r="P539" t="s">
        <v>64</v>
      </c>
      <c r="R539" t="s">
        <v>173</v>
      </c>
      <c r="T539" t="s">
        <v>32</v>
      </c>
      <c r="V539" t="s">
        <v>86</v>
      </c>
      <c r="X539" t="s">
        <v>86</v>
      </c>
      <c r="Z539" t="s">
        <v>77</v>
      </c>
      <c r="AB539" t="s">
        <v>178</v>
      </c>
      <c r="AD539" t="s">
        <v>693</v>
      </c>
      <c r="AF539" t="s">
        <v>1335</v>
      </c>
      <c r="AH539" t="s">
        <v>388</v>
      </c>
      <c r="AJ539" t="s">
        <v>389</v>
      </c>
      <c r="AL539">
        <v>0</v>
      </c>
      <c r="AN539">
        <v>1</v>
      </c>
      <c r="AP539">
        <v>180000</v>
      </c>
      <c r="AR539">
        <v>180000</v>
      </c>
      <c r="AT539" t="s">
        <v>64</v>
      </c>
      <c r="AU539" t="str">
        <f t="shared" si="8"/>
        <v>Omset Normal</v>
      </c>
    </row>
    <row r="540" spans="2:47" ht="23.1" customHeight="1">
      <c r="B540" s="9">
        <v>46256</v>
      </c>
      <c r="D540" t="s">
        <v>1331</v>
      </c>
      <c r="F540" t="s">
        <v>1332</v>
      </c>
      <c r="H540" s="9">
        <v>46256</v>
      </c>
      <c r="J540" t="s">
        <v>27</v>
      </c>
      <c r="L540" t="s">
        <v>1333</v>
      </c>
      <c r="N540" t="s">
        <v>1334</v>
      </c>
      <c r="P540" t="s">
        <v>64</v>
      </c>
      <c r="R540" t="s">
        <v>173</v>
      </c>
      <c r="T540" t="s">
        <v>41</v>
      </c>
      <c r="V540" t="s">
        <v>86</v>
      </c>
      <c r="X540" t="s">
        <v>86</v>
      </c>
      <c r="Z540" t="s">
        <v>77</v>
      </c>
      <c r="AB540" t="s">
        <v>178</v>
      </c>
      <c r="AD540" t="s">
        <v>693</v>
      </c>
      <c r="AF540" t="s">
        <v>1335</v>
      </c>
      <c r="AH540" t="s">
        <v>42</v>
      </c>
      <c r="AJ540" t="s">
        <v>43</v>
      </c>
      <c r="AL540">
        <v>17450</v>
      </c>
      <c r="AN540">
        <v>1</v>
      </c>
      <c r="AP540">
        <v>20000</v>
      </c>
      <c r="AR540">
        <v>20000</v>
      </c>
      <c r="AT540" t="s">
        <v>64</v>
      </c>
      <c r="AU540" t="str">
        <f t="shared" si="8"/>
        <v>Omset lainnya</v>
      </c>
    </row>
    <row r="541" spans="2:47" ht="23.1" customHeight="1">
      <c r="B541" s="9">
        <v>46256</v>
      </c>
      <c r="D541" t="s">
        <v>997</v>
      </c>
      <c r="F541" t="s">
        <v>998</v>
      </c>
      <c r="H541" s="9">
        <v>46251</v>
      </c>
      <c r="J541" t="s">
        <v>27</v>
      </c>
      <c r="L541" t="s">
        <v>999</v>
      </c>
      <c r="N541" t="s">
        <v>1000</v>
      </c>
      <c r="P541" t="s">
        <v>64</v>
      </c>
      <c r="R541" t="s">
        <v>31</v>
      </c>
      <c r="T541" t="s">
        <v>32</v>
      </c>
      <c r="V541" t="s">
        <v>49</v>
      </c>
      <c r="X541" t="s">
        <v>49</v>
      </c>
      <c r="Z541" t="s">
        <v>57</v>
      </c>
      <c r="AB541" t="s">
        <v>268</v>
      </c>
      <c r="AD541" t="s">
        <v>65</v>
      </c>
      <c r="AF541" t="s">
        <v>1001</v>
      </c>
      <c r="AH541" t="s">
        <v>270</v>
      </c>
      <c r="AJ541" t="s">
        <v>271</v>
      </c>
      <c r="AL541">
        <v>0</v>
      </c>
      <c r="AN541">
        <v>1</v>
      </c>
      <c r="AP541">
        <v>350000</v>
      </c>
      <c r="AR541">
        <v>350000</v>
      </c>
      <c r="AU541" t="str">
        <f t="shared" si="8"/>
        <v>Omset Interface</v>
      </c>
    </row>
    <row r="542" spans="2:47" ht="23.1" customHeight="1">
      <c r="B542" s="9">
        <v>46256</v>
      </c>
      <c r="D542" t="s">
        <v>997</v>
      </c>
      <c r="F542" t="s">
        <v>998</v>
      </c>
      <c r="H542" s="9">
        <v>46251</v>
      </c>
      <c r="J542" t="s">
        <v>27</v>
      </c>
      <c r="L542" t="s">
        <v>999</v>
      </c>
      <c r="N542" t="s">
        <v>1000</v>
      </c>
      <c r="P542" t="s">
        <v>64</v>
      </c>
      <c r="R542" t="s">
        <v>31</v>
      </c>
      <c r="T542" t="s">
        <v>41</v>
      </c>
      <c r="V542" t="s">
        <v>49</v>
      </c>
      <c r="X542" t="s">
        <v>49</v>
      </c>
      <c r="Z542" t="s">
        <v>57</v>
      </c>
      <c r="AB542" t="s">
        <v>268</v>
      </c>
      <c r="AD542" t="s">
        <v>65</v>
      </c>
      <c r="AF542" t="s">
        <v>1001</v>
      </c>
      <c r="AH542" t="s">
        <v>1336</v>
      </c>
      <c r="AJ542" t="s">
        <v>1337</v>
      </c>
      <c r="AL542">
        <v>23900</v>
      </c>
      <c r="AN542">
        <v>1</v>
      </c>
      <c r="AP542">
        <v>35000</v>
      </c>
      <c r="AR542">
        <v>35000</v>
      </c>
      <c r="AU542" t="str">
        <f t="shared" si="8"/>
        <v>Omset lainnya</v>
      </c>
    </row>
    <row r="543" spans="2:47" ht="23.1" customHeight="1">
      <c r="B543" s="9">
        <v>46257</v>
      </c>
      <c r="D543" t="s">
        <v>1338</v>
      </c>
      <c r="F543" t="s">
        <v>1339</v>
      </c>
      <c r="H543" s="9">
        <v>46257</v>
      </c>
      <c r="J543" t="s">
        <v>27</v>
      </c>
      <c r="L543" t="s">
        <v>1340</v>
      </c>
      <c r="N543" t="s">
        <v>1341</v>
      </c>
      <c r="P543" t="s">
        <v>77</v>
      </c>
      <c r="R543" t="s">
        <v>177</v>
      </c>
      <c r="T543" t="s">
        <v>41</v>
      </c>
      <c r="Z543" t="s">
        <v>77</v>
      </c>
      <c r="AB543" t="s">
        <v>178</v>
      </c>
      <c r="AD543" t="s">
        <v>87</v>
      </c>
      <c r="AF543" t="s">
        <v>1342</v>
      </c>
      <c r="AH543" t="s">
        <v>1343</v>
      </c>
      <c r="AJ543" t="s">
        <v>1344</v>
      </c>
      <c r="AL543">
        <v>76000</v>
      </c>
      <c r="AN543">
        <v>1</v>
      </c>
      <c r="AP543">
        <v>125000</v>
      </c>
      <c r="AR543">
        <v>125000</v>
      </c>
      <c r="AT543" t="s">
        <v>77</v>
      </c>
      <c r="AU543" t="str">
        <f t="shared" si="8"/>
        <v>Omset lainnya</v>
      </c>
    </row>
    <row r="544" spans="2:47" ht="23.1" customHeight="1">
      <c r="B544" s="9">
        <v>46257</v>
      </c>
      <c r="D544" t="s">
        <v>1345</v>
      </c>
      <c r="F544" t="s">
        <v>1346</v>
      </c>
      <c r="H544" s="9">
        <v>46257</v>
      </c>
      <c r="J544" t="s">
        <v>27</v>
      </c>
      <c r="L544" t="s">
        <v>1347</v>
      </c>
      <c r="N544" t="s">
        <v>1348</v>
      </c>
      <c r="P544" t="s">
        <v>77</v>
      </c>
      <c r="R544" t="s">
        <v>177</v>
      </c>
      <c r="T544" t="s">
        <v>41</v>
      </c>
      <c r="Z544" t="s">
        <v>77</v>
      </c>
      <c r="AB544" t="s">
        <v>178</v>
      </c>
      <c r="AD544" t="s">
        <v>78</v>
      </c>
      <c r="AH544" t="s">
        <v>42</v>
      </c>
      <c r="AJ544" t="s">
        <v>43</v>
      </c>
      <c r="AL544">
        <v>17450</v>
      </c>
      <c r="AN544">
        <v>1</v>
      </c>
      <c r="AP544">
        <v>20000</v>
      </c>
      <c r="AR544">
        <v>20000</v>
      </c>
      <c r="AT544" t="s">
        <v>77</v>
      </c>
      <c r="AU544" t="str">
        <f t="shared" si="8"/>
        <v>Omset lainnya</v>
      </c>
    </row>
    <row r="545" spans="2:47" ht="23.1" customHeight="1">
      <c r="B545" s="9">
        <v>46257</v>
      </c>
      <c r="D545" t="s">
        <v>1349</v>
      </c>
      <c r="F545" t="s">
        <v>1350</v>
      </c>
      <c r="H545" s="9">
        <v>46257</v>
      </c>
      <c r="J545" t="s">
        <v>27</v>
      </c>
      <c r="L545" t="s">
        <v>1351</v>
      </c>
      <c r="N545" t="s">
        <v>1285</v>
      </c>
      <c r="P545" t="s">
        <v>77</v>
      </c>
      <c r="R545" t="s">
        <v>177</v>
      </c>
      <c r="T545" t="s">
        <v>41</v>
      </c>
      <c r="Z545" t="s">
        <v>77</v>
      </c>
      <c r="AB545" t="s">
        <v>178</v>
      </c>
      <c r="AD545" t="s">
        <v>78</v>
      </c>
      <c r="AH545" t="s">
        <v>1352</v>
      </c>
      <c r="AJ545" t="s">
        <v>1353</v>
      </c>
      <c r="AL545">
        <v>60000</v>
      </c>
      <c r="AN545">
        <v>1</v>
      </c>
      <c r="AP545">
        <v>85000</v>
      </c>
      <c r="AR545">
        <v>85000</v>
      </c>
      <c r="AT545" t="s">
        <v>77</v>
      </c>
      <c r="AU545" t="str">
        <f t="shared" si="8"/>
        <v>Omset lainnya</v>
      </c>
    </row>
    <row r="546" spans="2:47" ht="23.1" customHeight="1">
      <c r="B546" s="9">
        <v>46257</v>
      </c>
      <c r="D546" t="s">
        <v>1354</v>
      </c>
      <c r="F546" t="s">
        <v>1355</v>
      </c>
      <c r="H546" s="9">
        <v>46257</v>
      </c>
      <c r="J546" t="s">
        <v>27</v>
      </c>
      <c r="L546" t="s">
        <v>1356</v>
      </c>
      <c r="N546" t="s">
        <v>1357</v>
      </c>
      <c r="P546" t="s">
        <v>57</v>
      </c>
      <c r="R546" t="s">
        <v>31</v>
      </c>
      <c r="T546" t="s">
        <v>32</v>
      </c>
      <c r="V546" t="s">
        <v>33</v>
      </c>
      <c r="X546" t="s">
        <v>33</v>
      </c>
      <c r="Z546" t="s">
        <v>57</v>
      </c>
      <c r="AB546" t="s">
        <v>35</v>
      </c>
      <c r="AD546" t="s">
        <v>65</v>
      </c>
      <c r="AF546" t="s">
        <v>1358</v>
      </c>
      <c r="AH546" t="s">
        <v>38</v>
      </c>
      <c r="AJ546" t="s">
        <v>39</v>
      </c>
      <c r="AL546">
        <v>0</v>
      </c>
      <c r="AN546">
        <v>1</v>
      </c>
      <c r="AP546">
        <v>176000</v>
      </c>
      <c r="AR546">
        <v>176000</v>
      </c>
      <c r="AT546" t="s">
        <v>64</v>
      </c>
      <c r="AU546" t="str">
        <f t="shared" si="8"/>
        <v>Omset Interface</v>
      </c>
    </row>
    <row r="547" spans="2:47" ht="23.1" customHeight="1">
      <c r="B547" s="9">
        <v>46257</v>
      </c>
      <c r="D547" t="s">
        <v>1354</v>
      </c>
      <c r="F547" t="s">
        <v>1355</v>
      </c>
      <c r="H547" s="9">
        <v>46257</v>
      </c>
      <c r="J547" t="s">
        <v>27</v>
      </c>
      <c r="L547" t="s">
        <v>1356</v>
      </c>
      <c r="N547" t="s">
        <v>1357</v>
      </c>
      <c r="P547" t="s">
        <v>57</v>
      </c>
      <c r="R547" t="s">
        <v>31</v>
      </c>
      <c r="T547" t="s">
        <v>41</v>
      </c>
      <c r="V547" t="s">
        <v>33</v>
      </c>
      <c r="X547" t="s">
        <v>33</v>
      </c>
      <c r="Z547" t="s">
        <v>57</v>
      </c>
      <c r="AB547" t="s">
        <v>35</v>
      </c>
      <c r="AD547" t="s">
        <v>65</v>
      </c>
      <c r="AF547" t="s">
        <v>1358</v>
      </c>
      <c r="AH547" t="s">
        <v>42</v>
      </c>
      <c r="AJ547" t="s">
        <v>43</v>
      </c>
      <c r="AL547">
        <v>17450</v>
      </c>
      <c r="AN547">
        <v>1</v>
      </c>
      <c r="AP547">
        <v>20000</v>
      </c>
      <c r="AR547">
        <v>20000</v>
      </c>
      <c r="AT547" t="s">
        <v>64</v>
      </c>
      <c r="AU547" t="str">
        <f t="shared" si="8"/>
        <v>Omset lainnya</v>
      </c>
    </row>
    <row r="548" spans="2:47" ht="23.1" customHeight="1">
      <c r="B548" s="9">
        <v>46257</v>
      </c>
      <c r="D548" t="s">
        <v>1359</v>
      </c>
      <c r="F548" t="s">
        <v>1360</v>
      </c>
      <c r="H548" s="9">
        <v>46257</v>
      </c>
      <c r="J548" t="s">
        <v>27</v>
      </c>
      <c r="L548" t="s">
        <v>1361</v>
      </c>
      <c r="N548" t="s">
        <v>1362</v>
      </c>
      <c r="P548" t="s">
        <v>77</v>
      </c>
      <c r="R548" t="s">
        <v>177</v>
      </c>
      <c r="T548" t="s">
        <v>41</v>
      </c>
      <c r="Z548" t="s">
        <v>77</v>
      </c>
      <c r="AB548" t="s">
        <v>178</v>
      </c>
      <c r="AD548" t="s">
        <v>65</v>
      </c>
      <c r="AF548" t="s">
        <v>776</v>
      </c>
      <c r="AH548" t="s">
        <v>315</v>
      </c>
      <c r="AJ548" t="s">
        <v>316</v>
      </c>
      <c r="AL548">
        <v>13943</v>
      </c>
      <c r="AN548">
        <v>1</v>
      </c>
      <c r="AP548">
        <v>40000</v>
      </c>
      <c r="AR548">
        <v>40000</v>
      </c>
      <c r="AT548" t="s">
        <v>77</v>
      </c>
      <c r="AU548" t="str">
        <f t="shared" si="8"/>
        <v>Omset lainnya</v>
      </c>
    </row>
    <row r="549" spans="2:47" ht="23.1" customHeight="1">
      <c r="B549" s="9">
        <v>46257</v>
      </c>
      <c r="D549" t="s">
        <v>1363</v>
      </c>
      <c r="F549" t="s">
        <v>1364</v>
      </c>
      <c r="H549" s="9">
        <v>46257</v>
      </c>
      <c r="J549" t="s">
        <v>54</v>
      </c>
      <c r="L549" t="s">
        <v>1365</v>
      </c>
      <c r="N549" t="s">
        <v>1366</v>
      </c>
      <c r="P549" t="s">
        <v>77</v>
      </c>
      <c r="R549" t="s">
        <v>177</v>
      </c>
      <c r="T549" t="s">
        <v>41</v>
      </c>
      <c r="Z549" t="s">
        <v>77</v>
      </c>
      <c r="AB549" t="s">
        <v>178</v>
      </c>
      <c r="AD549" t="s">
        <v>87</v>
      </c>
      <c r="AF549" t="s">
        <v>1367</v>
      </c>
      <c r="AH549" t="s">
        <v>1368</v>
      </c>
      <c r="AJ549" t="s">
        <v>1369</v>
      </c>
      <c r="AL549">
        <v>84000</v>
      </c>
      <c r="AN549">
        <v>1</v>
      </c>
      <c r="AP549">
        <v>150000</v>
      </c>
      <c r="AR549">
        <v>150000</v>
      </c>
      <c r="AT549" t="s">
        <v>77</v>
      </c>
      <c r="AU549" t="str">
        <f t="shared" si="8"/>
        <v>Omset lainnya</v>
      </c>
    </row>
    <row r="550" spans="2:47" ht="23.1" customHeight="1">
      <c r="B550" s="9">
        <v>46257</v>
      </c>
      <c r="D550" t="s">
        <v>1370</v>
      </c>
      <c r="F550" t="s">
        <v>1371</v>
      </c>
      <c r="H550" s="9">
        <v>46257</v>
      </c>
      <c r="J550" t="s">
        <v>27</v>
      </c>
      <c r="L550" t="s">
        <v>1372</v>
      </c>
      <c r="N550" t="s">
        <v>1373</v>
      </c>
      <c r="P550" t="s">
        <v>77</v>
      </c>
      <c r="R550" t="s">
        <v>31</v>
      </c>
      <c r="T550" t="s">
        <v>32</v>
      </c>
      <c r="V550" t="s">
        <v>86</v>
      </c>
      <c r="X550" t="s">
        <v>86</v>
      </c>
      <c r="Z550" t="s">
        <v>57</v>
      </c>
      <c r="AB550" t="s">
        <v>186</v>
      </c>
      <c r="AD550" t="s">
        <v>36</v>
      </c>
      <c r="AF550" t="s">
        <v>1030</v>
      </c>
      <c r="AH550" t="s">
        <v>114</v>
      </c>
      <c r="AJ550" t="s">
        <v>115</v>
      </c>
      <c r="AL550">
        <v>0</v>
      </c>
      <c r="AN550">
        <v>1</v>
      </c>
      <c r="AP550">
        <v>88000</v>
      </c>
      <c r="AR550">
        <v>88000</v>
      </c>
      <c r="AT550" t="s">
        <v>77</v>
      </c>
      <c r="AU550" t="str">
        <f t="shared" si="8"/>
        <v>Omset Normal</v>
      </c>
    </row>
    <row r="551" spans="2:47" ht="23.1" customHeight="1">
      <c r="B551" s="9">
        <v>46256</v>
      </c>
      <c r="D551" t="s">
        <v>1309</v>
      </c>
      <c r="F551" t="s">
        <v>1310</v>
      </c>
      <c r="H551" s="9">
        <v>46256</v>
      </c>
      <c r="J551" t="s">
        <v>27</v>
      </c>
      <c r="L551" t="s">
        <v>1311</v>
      </c>
      <c r="N551" t="s">
        <v>775</v>
      </c>
      <c r="P551" t="s">
        <v>64</v>
      </c>
      <c r="R551" t="s">
        <v>31</v>
      </c>
      <c r="T551" t="s">
        <v>94</v>
      </c>
      <c r="V551" t="s">
        <v>127</v>
      </c>
      <c r="X551" t="s">
        <v>127</v>
      </c>
      <c r="Z551" t="s">
        <v>64</v>
      </c>
      <c r="AB551" t="s">
        <v>35</v>
      </c>
      <c r="AD551" t="s">
        <v>65</v>
      </c>
      <c r="AF551" t="s">
        <v>501</v>
      </c>
      <c r="AH551" t="s">
        <v>502</v>
      </c>
      <c r="AJ551" t="s">
        <v>503</v>
      </c>
      <c r="AL551">
        <v>122500</v>
      </c>
      <c r="AN551">
        <v>1</v>
      </c>
      <c r="AP551">
        <v>135000</v>
      </c>
      <c r="AR551">
        <v>135000</v>
      </c>
      <c r="AT551" t="s">
        <v>64</v>
      </c>
      <c r="AU551" t="str">
        <f t="shared" si="8"/>
        <v>Omset lainnya</v>
      </c>
    </row>
    <row r="552" spans="2:47" ht="23.1" customHeight="1">
      <c r="B552" s="9">
        <v>46257</v>
      </c>
      <c r="D552" t="s">
        <v>1370</v>
      </c>
      <c r="F552" t="s">
        <v>1371</v>
      </c>
      <c r="H552" s="9">
        <v>46257</v>
      </c>
      <c r="J552" t="s">
        <v>27</v>
      </c>
      <c r="L552" t="s">
        <v>1372</v>
      </c>
      <c r="N552" t="s">
        <v>1373</v>
      </c>
      <c r="P552" t="s">
        <v>77</v>
      </c>
      <c r="R552" t="s">
        <v>31</v>
      </c>
      <c r="T552" t="s">
        <v>41</v>
      </c>
      <c r="V552" t="s">
        <v>86</v>
      </c>
      <c r="X552" t="s">
        <v>86</v>
      </c>
      <c r="Z552" t="s">
        <v>57</v>
      </c>
      <c r="AB552" t="s">
        <v>186</v>
      </c>
      <c r="AD552" t="s">
        <v>36</v>
      </c>
      <c r="AF552" t="s">
        <v>1030</v>
      </c>
      <c r="AH552" t="s">
        <v>42</v>
      </c>
      <c r="AJ552" t="s">
        <v>43</v>
      </c>
      <c r="AL552">
        <v>17450</v>
      </c>
      <c r="AN552">
        <v>1</v>
      </c>
      <c r="AP552">
        <v>20000</v>
      </c>
      <c r="AR552">
        <v>20000</v>
      </c>
      <c r="AT552" t="s">
        <v>77</v>
      </c>
      <c r="AU552" t="str">
        <f t="shared" si="8"/>
        <v>Omset lainnya</v>
      </c>
    </row>
    <row r="553" spans="2:47" ht="23.1" customHeight="1">
      <c r="B553" s="9">
        <v>46257</v>
      </c>
      <c r="D553" t="s">
        <v>1374</v>
      </c>
      <c r="F553" t="s">
        <v>1375</v>
      </c>
      <c r="H553" s="9">
        <v>46257</v>
      </c>
      <c r="J553" t="s">
        <v>27</v>
      </c>
      <c r="L553" t="s">
        <v>951</v>
      </c>
      <c r="N553" t="s">
        <v>952</v>
      </c>
      <c r="P553" t="s">
        <v>57</v>
      </c>
      <c r="R553" t="s">
        <v>31</v>
      </c>
      <c r="T553" t="s">
        <v>94</v>
      </c>
      <c r="V553" t="s">
        <v>49</v>
      </c>
      <c r="X553" t="s">
        <v>49</v>
      </c>
      <c r="Z553" t="s">
        <v>57</v>
      </c>
      <c r="AB553" t="s">
        <v>95</v>
      </c>
      <c r="AD553" t="s">
        <v>65</v>
      </c>
      <c r="AF553" t="s">
        <v>1376</v>
      </c>
      <c r="AH553" t="s">
        <v>1377</v>
      </c>
      <c r="AJ553" t="s">
        <v>1378</v>
      </c>
      <c r="AL553">
        <v>22500</v>
      </c>
      <c r="AN553">
        <v>1</v>
      </c>
      <c r="AP553">
        <v>50000</v>
      </c>
      <c r="AR553">
        <v>50000</v>
      </c>
      <c r="AT553" t="s">
        <v>64</v>
      </c>
      <c r="AU553" t="str">
        <f t="shared" si="8"/>
        <v>Omset lainnya</v>
      </c>
    </row>
    <row r="554" spans="2:47" ht="23.1" customHeight="1">
      <c r="B554" s="9">
        <v>46257</v>
      </c>
      <c r="D554" t="s">
        <v>1379</v>
      </c>
      <c r="F554" t="s">
        <v>1380</v>
      </c>
      <c r="H554" s="9">
        <v>46257</v>
      </c>
      <c r="J554" t="s">
        <v>27</v>
      </c>
      <c r="L554" t="s">
        <v>1381</v>
      </c>
      <c r="N554" t="s">
        <v>1382</v>
      </c>
      <c r="P554" t="s">
        <v>64</v>
      </c>
      <c r="R554" t="s">
        <v>31</v>
      </c>
      <c r="T554" t="s">
        <v>32</v>
      </c>
      <c r="V554" t="s">
        <v>71</v>
      </c>
      <c r="X554" t="s">
        <v>71</v>
      </c>
      <c r="Z554" t="s">
        <v>64</v>
      </c>
      <c r="AB554" t="s">
        <v>35</v>
      </c>
      <c r="AD554" t="s">
        <v>112</v>
      </c>
      <c r="AF554" t="s">
        <v>113</v>
      </c>
      <c r="AH554" t="s">
        <v>38</v>
      </c>
      <c r="AJ554" t="s">
        <v>39</v>
      </c>
      <c r="AL554">
        <v>0</v>
      </c>
      <c r="AN554">
        <v>1</v>
      </c>
      <c r="AP554">
        <v>92000</v>
      </c>
      <c r="AR554">
        <v>92000</v>
      </c>
      <c r="AT554" t="s">
        <v>64</v>
      </c>
      <c r="AU554" t="str">
        <f t="shared" si="8"/>
        <v>Omset Interface</v>
      </c>
    </row>
    <row r="555" spans="2:47" ht="23.1" customHeight="1">
      <c r="B555" s="9">
        <v>46257</v>
      </c>
      <c r="D555" t="s">
        <v>1379</v>
      </c>
      <c r="F555" t="s">
        <v>1380</v>
      </c>
      <c r="H555" s="9">
        <v>46257</v>
      </c>
      <c r="J555" t="s">
        <v>27</v>
      </c>
      <c r="L555" t="s">
        <v>1381</v>
      </c>
      <c r="N555" t="s">
        <v>1382</v>
      </c>
      <c r="P555" t="s">
        <v>64</v>
      </c>
      <c r="R555" t="s">
        <v>31</v>
      </c>
      <c r="T555" t="s">
        <v>41</v>
      </c>
      <c r="V555" t="s">
        <v>71</v>
      </c>
      <c r="X555" t="s">
        <v>71</v>
      </c>
      <c r="Z555" t="s">
        <v>64</v>
      </c>
      <c r="AB555" t="s">
        <v>35</v>
      </c>
      <c r="AD555" t="s">
        <v>112</v>
      </c>
      <c r="AF555" t="s">
        <v>113</v>
      </c>
      <c r="AH555" t="s">
        <v>180</v>
      </c>
      <c r="AJ555" t="s">
        <v>181</v>
      </c>
      <c r="AL555">
        <v>19913.043478</v>
      </c>
      <c r="AN555">
        <v>1</v>
      </c>
      <c r="AP555">
        <v>50000</v>
      </c>
      <c r="AR555">
        <v>50000</v>
      </c>
      <c r="AT555" t="s">
        <v>64</v>
      </c>
      <c r="AU555" t="str">
        <f t="shared" si="8"/>
        <v>Omset lainnya</v>
      </c>
    </row>
    <row r="556" spans="2:47" ht="23.1" customHeight="1">
      <c r="B556" s="9">
        <v>46257</v>
      </c>
      <c r="D556" t="s">
        <v>1383</v>
      </c>
      <c r="F556" t="s">
        <v>1384</v>
      </c>
      <c r="H556" s="9">
        <v>46257</v>
      </c>
      <c r="J556" t="s">
        <v>27</v>
      </c>
      <c r="L556" t="s">
        <v>1385</v>
      </c>
      <c r="N556" t="s">
        <v>1215</v>
      </c>
      <c r="P556" t="s">
        <v>64</v>
      </c>
      <c r="R556" t="s">
        <v>177</v>
      </c>
      <c r="T556" t="s">
        <v>41</v>
      </c>
      <c r="Z556" t="s">
        <v>64</v>
      </c>
      <c r="AB556" t="s">
        <v>178</v>
      </c>
      <c r="AD556" t="s">
        <v>87</v>
      </c>
      <c r="AF556" t="s">
        <v>1386</v>
      </c>
      <c r="AH556" t="s">
        <v>1387</v>
      </c>
      <c r="AJ556" t="s">
        <v>1388</v>
      </c>
      <c r="AL556">
        <v>39000</v>
      </c>
      <c r="AN556">
        <v>1</v>
      </c>
      <c r="AP556">
        <v>70000</v>
      </c>
      <c r="AR556">
        <v>70000</v>
      </c>
      <c r="AT556" t="s">
        <v>64</v>
      </c>
      <c r="AU556" t="str">
        <f t="shared" si="8"/>
        <v>Omset lainnya</v>
      </c>
    </row>
    <row r="557" spans="2:47" ht="23.1" customHeight="1">
      <c r="B557" s="9">
        <v>46257</v>
      </c>
      <c r="D557" t="s">
        <v>1379</v>
      </c>
      <c r="F557" t="s">
        <v>1380</v>
      </c>
      <c r="H557" s="9">
        <v>46257</v>
      </c>
      <c r="J557" t="s">
        <v>27</v>
      </c>
      <c r="L557" t="s">
        <v>1381</v>
      </c>
      <c r="N557" t="s">
        <v>1382</v>
      </c>
      <c r="P557" t="s">
        <v>64</v>
      </c>
      <c r="R557" t="s">
        <v>31</v>
      </c>
      <c r="T557" t="s">
        <v>94</v>
      </c>
      <c r="V557" t="s">
        <v>71</v>
      </c>
      <c r="X557" t="s">
        <v>71</v>
      </c>
      <c r="Z557" t="s">
        <v>64</v>
      </c>
      <c r="AB557" t="s">
        <v>35</v>
      </c>
      <c r="AD557" t="s">
        <v>112</v>
      </c>
      <c r="AF557" t="s">
        <v>113</v>
      </c>
      <c r="AH557" t="s">
        <v>1389</v>
      </c>
      <c r="AJ557" t="s">
        <v>1390</v>
      </c>
      <c r="AL557">
        <v>116000</v>
      </c>
      <c r="AN557">
        <v>1</v>
      </c>
      <c r="AP557">
        <v>128000</v>
      </c>
      <c r="AR557">
        <v>128000</v>
      </c>
      <c r="AT557" t="s">
        <v>64</v>
      </c>
      <c r="AU557" t="str">
        <f t="shared" si="8"/>
        <v>Omset lainnya</v>
      </c>
    </row>
    <row r="558" spans="2:47" ht="23.1" customHeight="1">
      <c r="B558" s="9">
        <v>46247</v>
      </c>
      <c r="D558" t="s">
        <v>879</v>
      </c>
      <c r="F558" t="s">
        <v>880</v>
      </c>
      <c r="H558" s="9">
        <v>46246</v>
      </c>
      <c r="J558" t="s">
        <v>27</v>
      </c>
      <c r="L558" t="s">
        <v>881</v>
      </c>
      <c r="N558" t="s">
        <v>882</v>
      </c>
      <c r="P558" t="s">
        <v>57</v>
      </c>
      <c r="R558" t="s">
        <v>31</v>
      </c>
      <c r="T558" t="s">
        <v>94</v>
      </c>
      <c r="V558" t="s">
        <v>127</v>
      </c>
      <c r="X558" t="s">
        <v>127</v>
      </c>
      <c r="Z558" t="s">
        <v>77</v>
      </c>
      <c r="AB558" t="s">
        <v>95</v>
      </c>
      <c r="AD558" t="s">
        <v>112</v>
      </c>
      <c r="AF558" t="s">
        <v>883</v>
      </c>
      <c r="AH558" t="s">
        <v>1097</v>
      </c>
      <c r="AJ558" t="s">
        <v>1098</v>
      </c>
      <c r="AL558">
        <v>237500</v>
      </c>
      <c r="AN558">
        <v>1</v>
      </c>
      <c r="AP558">
        <v>262000</v>
      </c>
      <c r="AR558">
        <v>262000</v>
      </c>
      <c r="AT558" t="s">
        <v>57</v>
      </c>
      <c r="AU558" t="str">
        <f t="shared" si="8"/>
        <v>Omset lainnya</v>
      </c>
    </row>
    <row r="559" spans="2:47" ht="23.1" customHeight="1">
      <c r="B559" s="9">
        <v>46257</v>
      </c>
      <c r="D559" t="s">
        <v>1370</v>
      </c>
      <c r="F559" t="s">
        <v>1371</v>
      </c>
      <c r="H559" s="9">
        <v>46257</v>
      </c>
      <c r="J559" t="s">
        <v>27</v>
      </c>
      <c r="L559" t="s">
        <v>1372</v>
      </c>
      <c r="N559" t="s">
        <v>1373</v>
      </c>
      <c r="P559" t="s">
        <v>77</v>
      </c>
      <c r="R559" t="s">
        <v>31</v>
      </c>
      <c r="T559" t="s">
        <v>94</v>
      </c>
      <c r="V559" t="s">
        <v>86</v>
      </c>
      <c r="X559" t="s">
        <v>86</v>
      </c>
      <c r="Z559" t="s">
        <v>57</v>
      </c>
      <c r="AB559" t="s">
        <v>186</v>
      </c>
      <c r="AD559" t="s">
        <v>36</v>
      </c>
      <c r="AF559" t="s">
        <v>1030</v>
      </c>
      <c r="AH559" t="s">
        <v>1391</v>
      </c>
      <c r="AJ559" t="s">
        <v>1392</v>
      </c>
      <c r="AL559">
        <v>15000</v>
      </c>
      <c r="AN559">
        <v>1</v>
      </c>
      <c r="AP559">
        <v>17000</v>
      </c>
      <c r="AR559">
        <v>17000</v>
      </c>
      <c r="AT559" t="s">
        <v>77</v>
      </c>
      <c r="AU559" t="str">
        <f t="shared" si="8"/>
        <v>Omset lainnya</v>
      </c>
    </row>
    <row r="560" spans="2:47" ht="23.1" customHeight="1">
      <c r="B560" s="9">
        <v>46257</v>
      </c>
      <c r="D560" t="s">
        <v>1354</v>
      </c>
      <c r="F560" t="s">
        <v>1355</v>
      </c>
      <c r="H560" s="9">
        <v>46257</v>
      </c>
      <c r="J560" t="s">
        <v>27</v>
      </c>
      <c r="L560" t="s">
        <v>1356</v>
      </c>
      <c r="N560" t="s">
        <v>1357</v>
      </c>
      <c r="P560" t="s">
        <v>57</v>
      </c>
      <c r="R560" t="s">
        <v>31</v>
      </c>
      <c r="T560" t="s">
        <v>94</v>
      </c>
      <c r="V560" t="s">
        <v>33</v>
      </c>
      <c r="X560" t="s">
        <v>33</v>
      </c>
      <c r="Z560" t="s">
        <v>57</v>
      </c>
      <c r="AB560" t="s">
        <v>35</v>
      </c>
      <c r="AD560" t="s">
        <v>65</v>
      </c>
      <c r="AF560" t="s">
        <v>1358</v>
      </c>
      <c r="AH560" t="s">
        <v>1393</v>
      </c>
      <c r="AJ560" t="s">
        <v>1394</v>
      </c>
      <c r="AL560">
        <v>129500</v>
      </c>
      <c r="AN560">
        <v>1</v>
      </c>
      <c r="AP560">
        <v>143000</v>
      </c>
      <c r="AR560">
        <v>143000</v>
      </c>
      <c r="AT560" t="s">
        <v>64</v>
      </c>
      <c r="AU560" t="str">
        <f t="shared" si="8"/>
        <v>Omset lainnya</v>
      </c>
    </row>
    <row r="561" spans="2:47" ht="23.1" customHeight="1">
      <c r="B561" s="9">
        <v>46257</v>
      </c>
      <c r="D561" t="s">
        <v>1354</v>
      </c>
      <c r="F561" t="s">
        <v>1355</v>
      </c>
      <c r="H561" s="9">
        <v>46257</v>
      </c>
      <c r="J561" t="s">
        <v>27</v>
      </c>
      <c r="L561" t="s">
        <v>1356</v>
      </c>
      <c r="N561" t="s">
        <v>1357</v>
      </c>
      <c r="P561" t="s">
        <v>57</v>
      </c>
      <c r="R561" t="s">
        <v>31</v>
      </c>
      <c r="T561" t="s">
        <v>94</v>
      </c>
      <c r="V561" t="s">
        <v>33</v>
      </c>
      <c r="X561" t="s">
        <v>33</v>
      </c>
      <c r="Z561" t="s">
        <v>57</v>
      </c>
      <c r="AB561" t="s">
        <v>35</v>
      </c>
      <c r="AD561" t="s">
        <v>65</v>
      </c>
      <c r="AF561" t="s">
        <v>1358</v>
      </c>
      <c r="AH561" t="s">
        <v>1395</v>
      </c>
      <c r="AJ561" t="s">
        <v>1396</v>
      </c>
      <c r="AL561">
        <v>9500</v>
      </c>
      <c r="AN561">
        <v>1</v>
      </c>
      <c r="AP561">
        <v>11000</v>
      </c>
      <c r="AR561">
        <v>11000</v>
      </c>
      <c r="AT561" t="s">
        <v>64</v>
      </c>
      <c r="AU561" t="str">
        <f t="shared" si="8"/>
        <v>Omset lainnya</v>
      </c>
    </row>
    <row r="562" spans="2:47" ht="23.1" customHeight="1">
      <c r="B562" s="9">
        <v>46249</v>
      </c>
      <c r="D562" t="s">
        <v>1063</v>
      </c>
      <c r="F562" t="s">
        <v>1064</v>
      </c>
      <c r="H562" s="9">
        <v>46249</v>
      </c>
      <c r="J562" t="s">
        <v>27</v>
      </c>
      <c r="L562" t="s">
        <v>881</v>
      </c>
      <c r="N562" t="s">
        <v>882</v>
      </c>
      <c r="P562" t="s">
        <v>77</v>
      </c>
      <c r="R562" t="s">
        <v>31</v>
      </c>
      <c r="T562" t="s">
        <v>94</v>
      </c>
      <c r="V562" t="s">
        <v>86</v>
      </c>
      <c r="X562" t="s">
        <v>86</v>
      </c>
      <c r="Z562" t="s">
        <v>77</v>
      </c>
      <c r="AB562" t="s">
        <v>268</v>
      </c>
      <c r="AD562" t="s">
        <v>36</v>
      </c>
      <c r="AF562" t="s">
        <v>1065</v>
      </c>
      <c r="AH562" t="s">
        <v>1397</v>
      </c>
      <c r="AJ562" t="s">
        <v>1398</v>
      </c>
      <c r="AL562">
        <v>170000</v>
      </c>
      <c r="AN562">
        <v>1</v>
      </c>
      <c r="AP562">
        <v>171000</v>
      </c>
      <c r="AR562">
        <v>171000</v>
      </c>
      <c r="AT562" t="s">
        <v>57</v>
      </c>
      <c r="AU562" t="str">
        <f t="shared" si="8"/>
        <v>Omset lainnya</v>
      </c>
    </row>
    <row r="563" spans="2:47" ht="23.1" customHeight="1">
      <c r="B563" s="9">
        <v>46247</v>
      </c>
      <c r="D563" t="s">
        <v>879</v>
      </c>
      <c r="F563" t="s">
        <v>880</v>
      </c>
      <c r="H563" s="9">
        <v>46246</v>
      </c>
      <c r="J563" t="s">
        <v>27</v>
      </c>
      <c r="L563" t="s">
        <v>881</v>
      </c>
      <c r="N563" t="s">
        <v>882</v>
      </c>
      <c r="P563" t="s">
        <v>57</v>
      </c>
      <c r="R563" t="s">
        <v>31</v>
      </c>
      <c r="T563" t="s">
        <v>32</v>
      </c>
      <c r="V563" t="s">
        <v>127</v>
      </c>
      <c r="X563" t="s">
        <v>127</v>
      </c>
      <c r="Z563" t="s">
        <v>77</v>
      </c>
      <c r="AB563" t="s">
        <v>95</v>
      </c>
      <c r="AD563" t="s">
        <v>112</v>
      </c>
      <c r="AF563" t="s">
        <v>883</v>
      </c>
      <c r="AH563" t="s">
        <v>38</v>
      </c>
      <c r="AJ563" t="s">
        <v>39</v>
      </c>
      <c r="AL563">
        <v>0</v>
      </c>
      <c r="AN563">
        <v>1</v>
      </c>
      <c r="AP563">
        <v>102000</v>
      </c>
      <c r="AR563">
        <v>102000</v>
      </c>
      <c r="AT563" t="s">
        <v>57</v>
      </c>
      <c r="AU563" t="str">
        <f t="shared" si="8"/>
        <v>Omset Interface</v>
      </c>
    </row>
    <row r="564" spans="2:47" ht="23.1" customHeight="1">
      <c r="B564" s="9">
        <v>46251</v>
      </c>
      <c r="D564" t="s">
        <v>1399</v>
      </c>
      <c r="L564" t="s">
        <v>1400</v>
      </c>
      <c r="N564" t="s">
        <v>614</v>
      </c>
      <c r="R564" t="s">
        <v>177</v>
      </c>
      <c r="T564" t="s">
        <v>41</v>
      </c>
      <c r="Z564" t="s">
        <v>64</v>
      </c>
      <c r="AH564" t="s">
        <v>42</v>
      </c>
      <c r="AJ564" t="s">
        <v>43</v>
      </c>
      <c r="AL564">
        <v>17450</v>
      </c>
      <c r="AN564">
        <v>1</v>
      </c>
      <c r="AP564">
        <v>20000</v>
      </c>
      <c r="AR564">
        <v>20000</v>
      </c>
      <c r="AT564" t="s">
        <v>64</v>
      </c>
      <c r="AU564" t="str">
        <f t="shared" si="8"/>
        <v>Omset lainnya</v>
      </c>
    </row>
    <row r="565" spans="2:47" ht="23.1" customHeight="1">
      <c r="B565" s="9">
        <v>46238</v>
      </c>
      <c r="D565" t="s">
        <v>377</v>
      </c>
      <c r="L565" t="s">
        <v>331</v>
      </c>
      <c r="N565" t="s">
        <v>332</v>
      </c>
      <c r="R565" t="s">
        <v>31</v>
      </c>
      <c r="T565" t="s">
        <v>94</v>
      </c>
      <c r="X565" t="s">
        <v>71</v>
      </c>
      <c r="Z565" t="s">
        <v>64</v>
      </c>
      <c r="AH565" t="s">
        <v>1401</v>
      </c>
      <c r="AJ565" t="s">
        <v>1402</v>
      </c>
      <c r="AL565">
        <v>121900</v>
      </c>
      <c r="AN565">
        <v>1</v>
      </c>
      <c r="AP565">
        <v>140000</v>
      </c>
      <c r="AR565">
        <v>140000</v>
      </c>
      <c r="AT565" t="s">
        <v>57</v>
      </c>
      <c r="AU565" t="str">
        <f t="shared" si="8"/>
        <v>Omset lainnya</v>
      </c>
    </row>
    <row r="566" spans="2:47" ht="23.1" customHeight="1">
      <c r="B566" s="9">
        <v>46235</v>
      </c>
      <c r="D566" t="s">
        <v>107</v>
      </c>
      <c r="L566" t="s">
        <v>109</v>
      </c>
      <c r="N566" t="s">
        <v>110</v>
      </c>
      <c r="R566" t="s">
        <v>31</v>
      </c>
      <c r="T566" t="s">
        <v>94</v>
      </c>
      <c r="X566" t="s">
        <v>71</v>
      </c>
      <c r="Z566" t="s">
        <v>77</v>
      </c>
      <c r="AH566" t="s">
        <v>1403</v>
      </c>
      <c r="AJ566" t="s">
        <v>1404</v>
      </c>
      <c r="AL566">
        <v>15500</v>
      </c>
      <c r="AN566">
        <v>1</v>
      </c>
      <c r="AP566">
        <v>30000</v>
      </c>
      <c r="AR566">
        <v>30000</v>
      </c>
      <c r="AU566" t="str">
        <f t="shared" si="8"/>
        <v>Omset lainnya</v>
      </c>
    </row>
    <row r="567" spans="2:47" ht="23.1" customHeight="1">
      <c r="B567" s="9">
        <v>46235</v>
      </c>
      <c r="D567" t="s">
        <v>199</v>
      </c>
      <c r="L567" t="s">
        <v>201</v>
      </c>
      <c r="N567" t="s">
        <v>202</v>
      </c>
      <c r="R567" t="s">
        <v>31</v>
      </c>
      <c r="T567" t="s">
        <v>94</v>
      </c>
      <c r="X567" t="s">
        <v>127</v>
      </c>
      <c r="Z567" t="s">
        <v>64</v>
      </c>
      <c r="AH567" t="s">
        <v>1405</v>
      </c>
      <c r="AJ567" t="s">
        <v>1406</v>
      </c>
      <c r="AL567">
        <v>126500</v>
      </c>
      <c r="AN567">
        <v>1</v>
      </c>
      <c r="AP567">
        <v>140000</v>
      </c>
      <c r="AR567">
        <v>140000</v>
      </c>
      <c r="AU567" t="str">
        <f t="shared" si="8"/>
        <v>Omset lainnya</v>
      </c>
    </row>
    <row r="568" spans="2:47" ht="23.1" customHeight="1">
      <c r="B568" s="9">
        <v>46235</v>
      </c>
      <c r="D568" t="s">
        <v>194</v>
      </c>
      <c r="L568" t="s">
        <v>196</v>
      </c>
      <c r="N568" t="s">
        <v>197</v>
      </c>
      <c r="R568" t="s">
        <v>31</v>
      </c>
      <c r="T568" t="s">
        <v>94</v>
      </c>
      <c r="X568" t="s">
        <v>86</v>
      </c>
      <c r="Z568" t="s">
        <v>57</v>
      </c>
      <c r="AH568" t="s">
        <v>426</v>
      </c>
      <c r="AJ568" t="s">
        <v>427</v>
      </c>
      <c r="AL568">
        <v>125000</v>
      </c>
      <c r="AN568">
        <v>1</v>
      </c>
      <c r="AP568">
        <v>150000</v>
      </c>
      <c r="AR568">
        <v>150000</v>
      </c>
      <c r="AU568" t="str">
        <f t="shared" si="8"/>
        <v>Omset lainnya</v>
      </c>
    </row>
    <row r="569" spans="2:47" ht="23.1" customHeight="1">
      <c r="B569" s="9">
        <v>46235</v>
      </c>
      <c r="D569" t="s">
        <v>1407</v>
      </c>
      <c r="L569" t="s">
        <v>1408</v>
      </c>
      <c r="N569" t="s">
        <v>1409</v>
      </c>
      <c r="R569" t="s">
        <v>177</v>
      </c>
      <c r="T569" t="s">
        <v>41</v>
      </c>
      <c r="Z569" t="s">
        <v>64</v>
      </c>
      <c r="AH569" t="s">
        <v>180</v>
      </c>
      <c r="AJ569" t="s">
        <v>181</v>
      </c>
      <c r="AL569">
        <v>20000</v>
      </c>
      <c r="AN569">
        <v>1</v>
      </c>
      <c r="AP569">
        <v>75000</v>
      </c>
      <c r="AR569">
        <v>75000</v>
      </c>
      <c r="AT569" t="s">
        <v>64</v>
      </c>
      <c r="AU569" t="str">
        <f t="shared" si="8"/>
        <v>Omset lainnya</v>
      </c>
    </row>
    <row r="570" spans="2:47" ht="23.1" customHeight="1">
      <c r="B570" s="9">
        <v>46234</v>
      </c>
      <c r="D570" t="s">
        <v>82</v>
      </c>
      <c r="L570" t="s">
        <v>84</v>
      </c>
      <c r="N570" t="s">
        <v>85</v>
      </c>
      <c r="R570" t="s">
        <v>31</v>
      </c>
      <c r="T570" t="s">
        <v>94</v>
      </c>
      <c r="X570" t="s">
        <v>86</v>
      </c>
      <c r="Z570" t="s">
        <v>57</v>
      </c>
      <c r="AH570" t="s">
        <v>1410</v>
      </c>
      <c r="AJ570" t="s">
        <v>1411</v>
      </c>
      <c r="AL570">
        <v>120500</v>
      </c>
      <c r="AN570">
        <v>1</v>
      </c>
      <c r="AP570">
        <v>150000</v>
      </c>
      <c r="AR570">
        <v>150000</v>
      </c>
      <c r="AU570" t="str">
        <f t="shared" si="8"/>
        <v>Omset lainnya</v>
      </c>
    </row>
    <row r="571" spans="2:47" ht="23.1" customHeight="1">
      <c r="B571" s="9">
        <v>46234</v>
      </c>
      <c r="D571" t="s">
        <v>67</v>
      </c>
      <c r="L571" t="s">
        <v>69</v>
      </c>
      <c r="N571" t="s">
        <v>70</v>
      </c>
      <c r="R571" t="s">
        <v>31</v>
      </c>
      <c r="T571" t="s">
        <v>94</v>
      </c>
      <c r="X571" t="s">
        <v>71</v>
      </c>
      <c r="Z571" t="s">
        <v>57</v>
      </c>
      <c r="AH571" t="s">
        <v>1412</v>
      </c>
      <c r="AJ571" t="s">
        <v>1413</v>
      </c>
      <c r="AL571">
        <v>165500</v>
      </c>
      <c r="AN571">
        <v>1</v>
      </c>
      <c r="AP571">
        <v>180000</v>
      </c>
      <c r="AR571">
        <v>180000</v>
      </c>
      <c r="AU571" t="str">
        <f t="shared" si="8"/>
        <v>Omset lainnya</v>
      </c>
    </row>
    <row r="572" spans="2:47" ht="23.1" customHeight="1">
      <c r="B572" s="9">
        <v>46234</v>
      </c>
      <c r="D572" t="s">
        <v>44</v>
      </c>
      <c r="L572" t="s">
        <v>46</v>
      </c>
      <c r="N572" t="s">
        <v>47</v>
      </c>
      <c r="R572" t="s">
        <v>31</v>
      </c>
      <c r="T572" t="s">
        <v>94</v>
      </c>
      <c r="X572" t="s">
        <v>49</v>
      </c>
      <c r="Z572" t="s">
        <v>48</v>
      </c>
      <c r="AH572" t="s">
        <v>1414</v>
      </c>
      <c r="AJ572" t="s">
        <v>1415</v>
      </c>
      <c r="AL572">
        <v>123500</v>
      </c>
      <c r="AN572">
        <v>1</v>
      </c>
      <c r="AP572">
        <v>150000</v>
      </c>
      <c r="AR572">
        <v>150000</v>
      </c>
      <c r="AU572" t="str">
        <f t="shared" si="8"/>
        <v>Omset lainnya</v>
      </c>
    </row>
    <row r="573" spans="2:47" ht="23.1" customHeight="1">
      <c r="B573" s="9">
        <v>46234</v>
      </c>
      <c r="D573" t="s">
        <v>25</v>
      </c>
      <c r="L573" t="s">
        <v>28</v>
      </c>
      <c r="N573" t="s">
        <v>29</v>
      </c>
      <c r="R573" t="s">
        <v>31</v>
      </c>
      <c r="T573" t="s">
        <v>94</v>
      </c>
      <c r="X573" t="s">
        <v>33</v>
      </c>
      <c r="Z573" t="s">
        <v>30</v>
      </c>
      <c r="AH573" t="s">
        <v>1416</v>
      </c>
      <c r="AJ573" t="s">
        <v>1417</v>
      </c>
      <c r="AL573">
        <v>120500</v>
      </c>
      <c r="AN573">
        <v>1</v>
      </c>
      <c r="AP573">
        <v>150000</v>
      </c>
      <c r="AR573">
        <v>150000</v>
      </c>
      <c r="AT573" t="s">
        <v>40</v>
      </c>
      <c r="AU573" t="str">
        <f t="shared" si="8"/>
        <v>Omset lainnya</v>
      </c>
    </row>
    <row r="574" spans="2:47" ht="23.1" customHeight="1">
      <c r="B574" s="9">
        <v>46236</v>
      </c>
      <c r="D574" t="s">
        <v>1418</v>
      </c>
      <c r="L574" t="s">
        <v>1419</v>
      </c>
      <c r="N574" t="s">
        <v>1420</v>
      </c>
      <c r="R574" t="s">
        <v>177</v>
      </c>
      <c r="T574" t="s">
        <v>41</v>
      </c>
      <c r="Z574" t="s">
        <v>77</v>
      </c>
      <c r="AH574" t="s">
        <v>1421</v>
      </c>
      <c r="AJ574" t="s">
        <v>1422</v>
      </c>
      <c r="AL574">
        <v>115500</v>
      </c>
      <c r="AN574">
        <v>1</v>
      </c>
      <c r="AP574">
        <v>165000</v>
      </c>
      <c r="AR574">
        <v>165000</v>
      </c>
      <c r="AU574" t="str">
        <f t="shared" si="8"/>
        <v>Omset lainnya</v>
      </c>
    </row>
    <row r="575" spans="2:47" ht="23.1" customHeight="1">
      <c r="B575" s="9">
        <v>46236</v>
      </c>
      <c r="D575" t="s">
        <v>1418</v>
      </c>
      <c r="L575" t="s">
        <v>1419</v>
      </c>
      <c r="N575" t="s">
        <v>1420</v>
      </c>
      <c r="R575" t="s">
        <v>177</v>
      </c>
      <c r="T575" t="s">
        <v>41</v>
      </c>
      <c r="Z575" t="s">
        <v>77</v>
      </c>
      <c r="AH575" t="s">
        <v>675</v>
      </c>
      <c r="AJ575" t="s">
        <v>676</v>
      </c>
      <c r="AL575">
        <v>40500</v>
      </c>
      <c r="AN575">
        <v>1</v>
      </c>
      <c r="AP575">
        <v>58000</v>
      </c>
      <c r="AR575">
        <v>58000</v>
      </c>
      <c r="AU575" t="str">
        <f t="shared" si="8"/>
        <v>Omset lainnya</v>
      </c>
    </row>
    <row r="576" spans="2:47" ht="23.1" customHeight="1">
      <c r="B576" s="9">
        <v>46235</v>
      </c>
      <c r="D576" t="s">
        <v>274</v>
      </c>
      <c r="L576" t="s">
        <v>276</v>
      </c>
      <c r="N576" t="s">
        <v>277</v>
      </c>
      <c r="R576" t="s">
        <v>31</v>
      </c>
      <c r="T576" t="s">
        <v>94</v>
      </c>
      <c r="X576" t="s">
        <v>33</v>
      </c>
      <c r="Z576" t="s">
        <v>64</v>
      </c>
      <c r="AH576" t="s">
        <v>1423</v>
      </c>
      <c r="AJ576" t="s">
        <v>1424</v>
      </c>
      <c r="AL576">
        <v>136500</v>
      </c>
      <c r="AN576">
        <v>1</v>
      </c>
      <c r="AP576">
        <v>140000</v>
      </c>
      <c r="AR576">
        <v>140000</v>
      </c>
      <c r="AU576" t="str">
        <f t="shared" si="8"/>
        <v>Omset lainnya</v>
      </c>
    </row>
    <row r="577" spans="2:47" ht="23.1" customHeight="1">
      <c r="B577" s="9">
        <v>46235</v>
      </c>
      <c r="D577" t="s">
        <v>1425</v>
      </c>
      <c r="L577" t="s">
        <v>1426</v>
      </c>
      <c r="N577" t="s">
        <v>1427</v>
      </c>
      <c r="R577" t="s">
        <v>177</v>
      </c>
      <c r="T577" t="s">
        <v>41</v>
      </c>
      <c r="Z577" t="s">
        <v>77</v>
      </c>
      <c r="AH577" t="s">
        <v>80</v>
      </c>
      <c r="AJ577" t="s">
        <v>81</v>
      </c>
      <c r="AL577">
        <v>20000</v>
      </c>
      <c r="AN577">
        <v>1</v>
      </c>
      <c r="AP577">
        <v>35000</v>
      </c>
      <c r="AR577">
        <v>35000</v>
      </c>
      <c r="AU577" t="str">
        <f t="shared" si="8"/>
        <v>Omset lainnya</v>
      </c>
    </row>
    <row r="578" spans="2:47" ht="23.1" customHeight="1">
      <c r="B578" s="9">
        <v>46234</v>
      </c>
      <c r="D578" t="s">
        <v>73</v>
      </c>
      <c r="L578" t="s">
        <v>75</v>
      </c>
      <c r="N578" t="s">
        <v>76</v>
      </c>
      <c r="R578" t="s">
        <v>31</v>
      </c>
      <c r="T578" t="s">
        <v>94</v>
      </c>
      <c r="X578" t="s">
        <v>49</v>
      </c>
      <c r="Z578" t="s">
        <v>57</v>
      </c>
      <c r="AH578" t="s">
        <v>1428</v>
      </c>
      <c r="AJ578" t="s">
        <v>1429</v>
      </c>
      <c r="AL578">
        <v>177000</v>
      </c>
      <c r="AN578">
        <v>1</v>
      </c>
      <c r="AP578">
        <v>190000</v>
      </c>
      <c r="AR578">
        <v>190000</v>
      </c>
      <c r="AU578" t="str">
        <f t="shared" ref="AU578:AU587" si="9">_xlfn.IFS(ISNUMBER(SEARCH("Interface", AJ578)), "Omset Interface", ISNUMBER(SEARCH("Normal", AJ578)), "Omset Normal", ISNUMBER(SEARCH("Mati Total", AJ578)), "Omset Mati Total", ISNUMBER(SEARCH("Promo", AJ578)), "Omset Promo", TRUE, "Omset lainnya")</f>
        <v>Omset lainnya</v>
      </c>
    </row>
    <row r="579" spans="2:47" ht="23.1" customHeight="1">
      <c r="B579" s="9">
        <v>46234</v>
      </c>
      <c r="D579" t="s">
        <v>1430</v>
      </c>
      <c r="L579" t="s">
        <v>1431</v>
      </c>
      <c r="N579" t="s">
        <v>1432</v>
      </c>
      <c r="R579" t="s">
        <v>177</v>
      </c>
      <c r="T579" t="s">
        <v>41</v>
      </c>
      <c r="Z579" t="s">
        <v>64</v>
      </c>
      <c r="AH579" t="s">
        <v>1433</v>
      </c>
      <c r="AJ579" t="s">
        <v>1434</v>
      </c>
      <c r="AL579">
        <v>39000</v>
      </c>
      <c r="AN579">
        <v>1</v>
      </c>
      <c r="AP579">
        <v>40000</v>
      </c>
      <c r="AR579">
        <v>40000</v>
      </c>
      <c r="AU579" t="str">
        <f t="shared" si="9"/>
        <v>Omset lainnya</v>
      </c>
    </row>
    <row r="580" spans="2:47" ht="23.1" customHeight="1">
      <c r="B580" s="9">
        <v>46234</v>
      </c>
      <c r="D580" t="s">
        <v>1435</v>
      </c>
      <c r="L580" t="s">
        <v>1436</v>
      </c>
      <c r="N580" t="s">
        <v>1437</v>
      </c>
      <c r="R580" t="s">
        <v>177</v>
      </c>
      <c r="T580" t="s">
        <v>41</v>
      </c>
      <c r="Z580" t="s">
        <v>64</v>
      </c>
      <c r="AH580" t="s">
        <v>818</v>
      </c>
      <c r="AJ580" t="s">
        <v>819</v>
      </c>
      <c r="AL580">
        <v>39000</v>
      </c>
      <c r="AN580">
        <v>1</v>
      </c>
      <c r="AP580">
        <v>55500</v>
      </c>
      <c r="AR580">
        <v>55500</v>
      </c>
      <c r="AU580" t="str">
        <f t="shared" si="9"/>
        <v>Omset lainnya</v>
      </c>
    </row>
    <row r="581" spans="2:47" ht="23.1" customHeight="1">
      <c r="B581" s="9">
        <v>46234</v>
      </c>
      <c r="D581" t="s">
        <v>1435</v>
      </c>
      <c r="L581" t="s">
        <v>1436</v>
      </c>
      <c r="N581" t="s">
        <v>1437</v>
      </c>
      <c r="R581" t="s">
        <v>177</v>
      </c>
      <c r="T581" t="s">
        <v>41</v>
      </c>
      <c r="Z581" t="s">
        <v>64</v>
      </c>
      <c r="AH581" t="s">
        <v>1438</v>
      </c>
      <c r="AJ581" t="s">
        <v>1439</v>
      </c>
      <c r="AL581">
        <v>41000</v>
      </c>
      <c r="AN581">
        <v>1</v>
      </c>
      <c r="AP581">
        <v>80000</v>
      </c>
      <c r="AR581">
        <v>80000</v>
      </c>
      <c r="AU581" t="str">
        <f t="shared" si="9"/>
        <v>Omset lainnya</v>
      </c>
    </row>
    <row r="582" spans="2:47" ht="23.1" customHeight="1">
      <c r="B582" s="9">
        <v>46238</v>
      </c>
      <c r="D582" t="s">
        <v>1440</v>
      </c>
      <c r="L582" t="s">
        <v>1441</v>
      </c>
      <c r="N582" t="s">
        <v>1442</v>
      </c>
      <c r="R582" t="s">
        <v>177</v>
      </c>
      <c r="T582" t="s">
        <v>94</v>
      </c>
      <c r="Z582" t="s">
        <v>310</v>
      </c>
      <c r="AH582" t="s">
        <v>1443</v>
      </c>
      <c r="AJ582" t="s">
        <v>1444</v>
      </c>
      <c r="AL582">
        <v>85000</v>
      </c>
      <c r="AN582">
        <v>1</v>
      </c>
      <c r="AP582">
        <v>85000</v>
      </c>
      <c r="AR582">
        <v>85000</v>
      </c>
      <c r="AT582" t="s">
        <v>310</v>
      </c>
      <c r="AU582" t="str">
        <f t="shared" si="9"/>
        <v>Omset lainnya</v>
      </c>
    </row>
    <row r="583" spans="2:47" ht="23.1" customHeight="1">
      <c r="B583" s="9">
        <v>46235</v>
      </c>
      <c r="D583" t="s">
        <v>279</v>
      </c>
      <c r="L583" t="s">
        <v>281</v>
      </c>
      <c r="N583" t="s">
        <v>282</v>
      </c>
      <c r="R583" t="s">
        <v>31</v>
      </c>
      <c r="T583" t="s">
        <v>94</v>
      </c>
      <c r="X583" t="s">
        <v>127</v>
      </c>
      <c r="Z583" t="s">
        <v>64</v>
      </c>
      <c r="AH583" t="s">
        <v>553</v>
      </c>
      <c r="AJ583" t="s">
        <v>554</v>
      </c>
      <c r="AL583">
        <v>193500</v>
      </c>
      <c r="AN583">
        <v>1</v>
      </c>
      <c r="AP583">
        <v>220000</v>
      </c>
      <c r="AR583">
        <v>220000</v>
      </c>
      <c r="AU583" t="str">
        <f t="shared" si="9"/>
        <v>Omset lainnya</v>
      </c>
    </row>
    <row r="584" spans="2:47" ht="23.1" customHeight="1">
      <c r="B584" s="9">
        <v>46235</v>
      </c>
      <c r="D584" t="s">
        <v>266</v>
      </c>
      <c r="L584" t="s">
        <v>102</v>
      </c>
      <c r="N584" t="s">
        <v>103</v>
      </c>
      <c r="R584" t="s">
        <v>31</v>
      </c>
      <c r="T584" t="s">
        <v>94</v>
      </c>
      <c r="X584" t="s">
        <v>49</v>
      </c>
      <c r="Z584" t="s">
        <v>57</v>
      </c>
      <c r="AH584" t="s">
        <v>1445</v>
      </c>
      <c r="AJ584" t="s">
        <v>1446</v>
      </c>
      <c r="AL584">
        <v>147000</v>
      </c>
      <c r="AN584">
        <v>1</v>
      </c>
      <c r="AP584">
        <v>160000</v>
      </c>
      <c r="AR584">
        <v>160000</v>
      </c>
      <c r="AU584" t="str">
        <f t="shared" si="9"/>
        <v>Omset lainnya</v>
      </c>
    </row>
    <row r="585" spans="2:47" ht="23.1" customHeight="1">
      <c r="B585" s="9">
        <v>46235</v>
      </c>
      <c r="D585" t="s">
        <v>1447</v>
      </c>
      <c r="L585" t="s">
        <v>1448</v>
      </c>
      <c r="N585" t="s">
        <v>1449</v>
      </c>
      <c r="R585" t="s">
        <v>177</v>
      </c>
      <c r="T585" t="s">
        <v>41</v>
      </c>
      <c r="Z585" t="s">
        <v>77</v>
      </c>
      <c r="AH585" t="s">
        <v>675</v>
      </c>
      <c r="AJ585" t="s">
        <v>676</v>
      </c>
      <c r="AL585">
        <v>40500</v>
      </c>
      <c r="AN585">
        <v>1</v>
      </c>
      <c r="AP585">
        <v>58000</v>
      </c>
      <c r="AR585">
        <v>58000</v>
      </c>
      <c r="AU585" t="str">
        <f t="shared" si="9"/>
        <v>Omset lainnya</v>
      </c>
    </row>
    <row r="586" spans="2:47" ht="23.1" customHeight="1">
      <c r="B586" s="9">
        <v>46234</v>
      </c>
      <c r="D586" t="s">
        <v>52</v>
      </c>
      <c r="L586" t="s">
        <v>55</v>
      </c>
      <c r="N586" t="s">
        <v>56</v>
      </c>
      <c r="R586" t="s">
        <v>31</v>
      </c>
      <c r="T586" t="s">
        <v>94</v>
      </c>
      <c r="X586" t="s">
        <v>49</v>
      </c>
      <c r="Z586" t="s">
        <v>57</v>
      </c>
      <c r="AH586" t="s">
        <v>1450</v>
      </c>
      <c r="AJ586" t="s">
        <v>1451</v>
      </c>
      <c r="AL586">
        <v>128000</v>
      </c>
      <c r="AN586">
        <v>1</v>
      </c>
      <c r="AP586">
        <v>150000</v>
      </c>
      <c r="AR586">
        <v>150000</v>
      </c>
      <c r="AU586" t="str">
        <f t="shared" si="9"/>
        <v>Omset lainnya</v>
      </c>
    </row>
    <row r="587" spans="2:47" ht="14.1" customHeight="1">
      <c r="B587" s="9">
        <v>46234</v>
      </c>
      <c r="D587" t="s">
        <v>263</v>
      </c>
      <c r="L587" t="s">
        <v>171</v>
      </c>
      <c r="N587" t="s">
        <v>172</v>
      </c>
      <c r="R587" t="s">
        <v>31</v>
      </c>
      <c r="T587" t="s">
        <v>94</v>
      </c>
      <c r="X587" t="s">
        <v>86</v>
      </c>
      <c r="Z587" t="s">
        <v>57</v>
      </c>
      <c r="AH587" t="s">
        <v>1452</v>
      </c>
      <c r="AJ587" t="s">
        <v>1453</v>
      </c>
      <c r="AL587">
        <v>168500</v>
      </c>
      <c r="AN587">
        <v>1</v>
      </c>
      <c r="AP587">
        <v>180000</v>
      </c>
      <c r="AR587">
        <v>180000</v>
      </c>
      <c r="AU587" t="str">
        <f t="shared" si="9"/>
        <v>Omset lainnya</v>
      </c>
    </row>
    <row r="588" spans="2:47" ht="14.1" customHeight="1"/>
    <row r="589" spans="2:47" ht="14.1" customHeight="1"/>
    <row r="590" spans="2:47" ht="14.1" customHeight="1"/>
    <row r="591" spans="2:47" ht="14.1" customHeight="1"/>
    <row r="592" spans="2:47" ht="23.1" customHeight="1"/>
    <row r="593" ht="23.1" customHeight="1"/>
    <row r="594" ht="23.1" customHeight="1"/>
    <row r="595" ht="23.1" customHeight="1"/>
    <row r="596" ht="23.1" customHeight="1"/>
    <row r="597" ht="23.1" customHeight="1"/>
    <row r="598" ht="23.1" customHeight="1"/>
    <row r="599" ht="23.1" customHeight="1"/>
    <row r="600" ht="23.1" customHeight="1"/>
    <row r="601" ht="23.1" customHeight="1"/>
    <row r="602" ht="23.1" customHeight="1"/>
    <row r="603" ht="23.1" customHeight="1"/>
    <row r="604" ht="14.1" customHeight="1"/>
    <row r="605" ht="14.1" customHeight="1"/>
    <row r="606" ht="23.1" customHeight="1"/>
    <row r="607" ht="23.1" customHeight="1"/>
    <row r="608" ht="23.1" customHeight="1"/>
    <row r="609" ht="23.1" customHeight="1"/>
    <row r="610" ht="23.1" customHeight="1"/>
    <row r="611" ht="23.1" customHeight="1"/>
    <row r="612" ht="23.1" customHeight="1"/>
    <row r="613" ht="23.1" customHeight="1"/>
    <row r="614" ht="23.1" customHeight="1"/>
    <row r="615" ht="23.1" customHeight="1"/>
    <row r="616" ht="23.1" customHeight="1"/>
    <row r="617" ht="23.1" customHeight="1"/>
    <row r="618" ht="23.1" customHeight="1"/>
    <row r="619" ht="23.1" customHeight="1"/>
    <row r="620" ht="23.1" customHeight="1"/>
    <row r="621" ht="23.1" customHeight="1"/>
    <row r="622" ht="23.1" customHeight="1"/>
    <row r="623" ht="23.1" customHeight="1"/>
    <row r="624" ht="23.1" customHeight="1"/>
    <row r="625" ht="23.1" customHeight="1"/>
    <row r="626" ht="23.1" customHeight="1"/>
    <row r="627" ht="23.1" customHeight="1"/>
    <row r="628" ht="23.1" customHeight="1"/>
    <row r="629" ht="23.1" customHeight="1"/>
    <row r="630" ht="23.1" customHeight="1"/>
    <row r="631" ht="23.1" customHeight="1"/>
    <row r="632" ht="23.1" customHeight="1"/>
    <row r="633" ht="23.1" customHeight="1"/>
    <row r="634" ht="23.1" customHeight="1"/>
    <row r="635" ht="23.1" customHeight="1"/>
    <row r="636" ht="23.1" customHeight="1"/>
    <row r="637" ht="23.1" customHeight="1"/>
    <row r="638" ht="23.1" customHeight="1"/>
    <row r="639" ht="23.1" customHeight="1"/>
    <row r="640" ht="23.1" customHeight="1"/>
    <row r="641" ht="23.1" customHeight="1"/>
    <row r="642" ht="23.1" customHeight="1"/>
    <row r="643" ht="23.1" customHeight="1"/>
    <row r="644" ht="23.1" customHeight="1"/>
    <row r="645" ht="23.1" customHeight="1"/>
    <row r="646" ht="23.1" customHeight="1"/>
    <row r="647" ht="23.1" customHeight="1"/>
    <row r="648" ht="23.1" customHeight="1"/>
    <row r="649" ht="23.1" customHeight="1"/>
    <row r="650" ht="23.1" customHeight="1"/>
    <row r="651" ht="23.1" customHeight="1"/>
    <row r="652" ht="23.1" customHeight="1"/>
    <row r="653" ht="23.1" customHeight="1"/>
    <row r="654" ht="23.1" customHeight="1"/>
    <row r="655" ht="23.1" customHeight="1"/>
    <row r="656" ht="23.1" customHeight="1"/>
    <row r="657" ht="23.1" customHeight="1"/>
    <row r="658" ht="23.1" customHeight="1"/>
    <row r="659" ht="23.1" customHeight="1"/>
    <row r="660" ht="23.1" customHeight="1"/>
    <row r="661" ht="23.1" customHeight="1"/>
    <row r="662" ht="23.1" customHeight="1"/>
    <row r="663" ht="23.1" customHeight="1"/>
    <row r="664" ht="23.1" customHeight="1"/>
    <row r="665" ht="14.1" customHeight="1"/>
    <row r="666" ht="23.1" customHeight="1"/>
    <row r="667" ht="23.1" customHeight="1"/>
    <row r="668" ht="23.1" customHeight="1"/>
    <row r="669" ht="14.1" customHeight="1"/>
    <row r="670" ht="23.1" customHeight="1"/>
    <row r="671" ht="23.1" customHeight="1"/>
    <row r="672" ht="23.1" customHeight="1"/>
    <row r="673" ht="23.1" customHeight="1"/>
    <row r="674" ht="23.1" customHeight="1"/>
    <row r="675" ht="23.1" customHeight="1"/>
    <row r="676" ht="23.1" customHeight="1"/>
    <row r="677" ht="23.1" customHeight="1"/>
    <row r="678" ht="23.1" customHeight="1"/>
    <row r="679" ht="23.1" customHeight="1"/>
    <row r="680" ht="23.1" customHeight="1"/>
    <row r="681" ht="23.1" customHeight="1"/>
    <row r="682" ht="23.1" customHeight="1"/>
    <row r="683" ht="23.1" customHeight="1"/>
    <row r="684" ht="23.1" customHeight="1"/>
    <row r="685" ht="23.1" customHeight="1"/>
    <row r="686" ht="23.1" customHeight="1"/>
    <row r="687" ht="23.1" customHeight="1"/>
    <row r="688" ht="23.1" customHeight="1"/>
    <row r="689" ht="23.1" customHeight="1"/>
    <row r="690" ht="23.1" customHeight="1"/>
    <row r="691" ht="23.1" customHeight="1"/>
    <row r="692" ht="23.1" customHeight="1"/>
    <row r="693" ht="23.1" customHeight="1"/>
    <row r="694" ht="23.1" customHeight="1"/>
    <row r="695" ht="23.1" customHeight="1"/>
    <row r="696" ht="23.1" customHeight="1"/>
    <row r="697" ht="23.1" customHeight="1"/>
    <row r="698" ht="23.1" customHeight="1"/>
    <row r="699" ht="23.1" customHeight="1"/>
    <row r="700" ht="23.1" customHeight="1"/>
    <row r="701" ht="23.1" customHeight="1"/>
    <row r="702" ht="23.1" customHeight="1"/>
    <row r="703" ht="23.1" customHeight="1"/>
    <row r="704" ht="23.1" customHeight="1"/>
    <row r="705" ht="23.1" customHeight="1"/>
    <row r="706" ht="14.1" customHeight="1"/>
    <row r="707" ht="23.1" customHeight="1"/>
    <row r="708" ht="23.1" customHeight="1"/>
    <row r="709" ht="23.1" customHeight="1"/>
    <row r="710" ht="23.1" customHeight="1"/>
    <row r="711" ht="23.1" customHeight="1"/>
    <row r="712" ht="23.1" customHeight="1"/>
    <row r="713" ht="23.1" customHeight="1"/>
    <row r="714" ht="23.1" customHeight="1"/>
    <row r="715" ht="23.1" customHeight="1"/>
    <row r="716" ht="23.1" customHeight="1"/>
    <row r="717" ht="23.1" customHeight="1"/>
    <row r="718" ht="23.1" customHeight="1"/>
    <row r="719" ht="23.1" customHeight="1"/>
    <row r="720" ht="23.1" customHeight="1"/>
    <row r="721" ht="23.1" customHeight="1"/>
    <row r="722" ht="23.1" customHeight="1"/>
    <row r="723" ht="23.1" customHeight="1"/>
    <row r="724" ht="23.1" customHeight="1"/>
    <row r="725" ht="23.1" customHeight="1"/>
    <row r="726" ht="23.1" customHeight="1"/>
    <row r="727" ht="23.1" customHeight="1"/>
    <row r="728" ht="23.1" customHeight="1"/>
    <row r="729" ht="23.1" customHeight="1"/>
    <row r="730" ht="23.1" customHeight="1"/>
    <row r="731" ht="23.1" customHeight="1"/>
    <row r="732" ht="23.1" customHeight="1"/>
    <row r="733" ht="23.1" customHeight="1"/>
    <row r="734" ht="23.1" customHeight="1"/>
    <row r="735" ht="23.1" customHeight="1"/>
    <row r="736" ht="23.1" customHeight="1"/>
    <row r="737" ht="23.1" customHeight="1"/>
    <row r="738" ht="23.1" customHeight="1"/>
    <row r="739" ht="23.1" customHeight="1"/>
    <row r="740" ht="23.1" customHeight="1"/>
    <row r="741" ht="23.1" customHeight="1"/>
    <row r="742" ht="23.1" customHeight="1"/>
    <row r="743" ht="23.1" customHeight="1"/>
    <row r="744" ht="23.1" customHeight="1"/>
    <row r="745" ht="23.1" customHeight="1"/>
    <row r="746" ht="23.1" customHeight="1"/>
    <row r="747" ht="23.1" customHeight="1"/>
    <row r="748" ht="23.1" customHeight="1"/>
    <row r="749" ht="23.1" customHeight="1"/>
    <row r="750" ht="23.1" customHeight="1"/>
    <row r="751" ht="23.1" customHeight="1"/>
    <row r="752" ht="23.1" customHeight="1"/>
    <row r="753" ht="23.1" customHeight="1"/>
    <row r="754" ht="23.1" customHeight="1"/>
    <row r="755" ht="23.1" customHeight="1"/>
    <row r="756" ht="23.1" customHeight="1"/>
    <row r="757" ht="23.1" customHeight="1"/>
    <row r="758" ht="23.1" customHeight="1"/>
    <row r="759" ht="23.1" customHeight="1"/>
    <row r="760" ht="23.1" customHeight="1"/>
    <row r="761" ht="23.1" customHeight="1"/>
    <row r="762" ht="23.1" customHeight="1"/>
    <row r="763" ht="23.1" customHeight="1"/>
    <row r="764" ht="23.1" customHeight="1"/>
    <row r="765" ht="23.1" customHeight="1"/>
    <row r="766" ht="23.1" customHeight="1"/>
    <row r="767" ht="23.1" customHeight="1"/>
    <row r="768" ht="23.1" customHeight="1"/>
    <row r="769" ht="23.1" customHeight="1"/>
    <row r="770" ht="23.1" customHeight="1"/>
    <row r="771" ht="23.1" customHeight="1"/>
    <row r="772" ht="23.1" customHeight="1"/>
    <row r="773" ht="23.1" customHeight="1"/>
    <row r="774" ht="23.1" customHeight="1"/>
    <row r="775" ht="23.1" customHeight="1"/>
    <row r="776" ht="23.1" customHeight="1"/>
    <row r="777" ht="23.1" customHeight="1"/>
    <row r="778" ht="23.1" customHeight="1"/>
    <row r="779" ht="23.1" customHeight="1"/>
    <row r="780" ht="23.1" customHeight="1"/>
    <row r="781" ht="23.1" customHeight="1"/>
    <row r="782" ht="23.1" customHeight="1"/>
    <row r="783" ht="23.1" customHeight="1"/>
    <row r="784" ht="23.1" customHeight="1"/>
    <row r="785" ht="23.1" customHeight="1"/>
    <row r="786" ht="23.1" customHeight="1"/>
    <row r="787" ht="23.1" customHeight="1"/>
    <row r="788" ht="23.1" customHeight="1"/>
    <row r="789" ht="14.1" customHeight="1"/>
    <row r="790" ht="14.1" customHeight="1"/>
    <row r="791" ht="14.1" customHeight="1"/>
    <row r="792" ht="23.1" customHeight="1"/>
    <row r="793" ht="23.1" customHeight="1"/>
    <row r="794" ht="23.1" customHeight="1"/>
    <row r="795" ht="23.1" customHeight="1"/>
    <row r="796" ht="23.1" customHeight="1"/>
    <row r="797" ht="23.1" customHeight="1"/>
    <row r="798" ht="23.1" customHeight="1"/>
    <row r="799" ht="23.1" customHeight="1"/>
    <row r="800" ht="23.1" customHeight="1"/>
    <row r="801" ht="23.1" customHeight="1"/>
    <row r="802" ht="23.1" customHeight="1"/>
    <row r="803" ht="23.1" customHeight="1"/>
    <row r="804" ht="23.1" customHeight="1"/>
    <row r="805" ht="23.1" customHeight="1"/>
    <row r="806" ht="23.1" customHeight="1"/>
    <row r="807" ht="23.1" customHeight="1"/>
    <row r="808" ht="23.1" customHeight="1"/>
    <row r="809" ht="23.1" customHeight="1"/>
    <row r="810" ht="23.1" customHeight="1"/>
    <row r="811" ht="23.1" customHeight="1"/>
    <row r="812" ht="23.1" customHeight="1"/>
    <row r="813" ht="23.1" customHeight="1"/>
    <row r="814" ht="23.1" customHeight="1"/>
    <row r="815" ht="23.1" customHeight="1"/>
    <row r="816" ht="23.1" customHeight="1"/>
    <row r="817" ht="23.1" customHeight="1"/>
    <row r="818" ht="23.1" customHeight="1"/>
    <row r="819" ht="23.1" customHeight="1"/>
    <row r="820" ht="23.1" customHeight="1"/>
    <row r="821" ht="23.1" customHeight="1"/>
    <row r="822" ht="23.1" customHeight="1"/>
    <row r="823" ht="23.1" customHeight="1"/>
    <row r="824" ht="23.1" customHeight="1"/>
    <row r="825" ht="23.1" customHeight="1"/>
    <row r="826" ht="23.1" customHeight="1"/>
    <row r="827" ht="23.1" customHeight="1"/>
    <row r="828" ht="23.1" customHeight="1"/>
    <row r="829" ht="23.1" customHeight="1"/>
    <row r="830" ht="23.1" customHeight="1"/>
    <row r="831" ht="23.1" customHeight="1"/>
    <row r="832" ht="23.1" customHeight="1"/>
    <row r="833" ht="23.1" customHeight="1"/>
    <row r="834" ht="23.1" customHeight="1"/>
    <row r="835" ht="23.1" customHeight="1"/>
    <row r="836" ht="23.1" customHeight="1"/>
    <row r="837" ht="23.1" customHeight="1"/>
    <row r="838" ht="23.1" customHeight="1"/>
    <row r="839" ht="23.1" customHeight="1"/>
    <row r="840" ht="23.1" customHeight="1"/>
    <row r="841" ht="23.1" customHeight="1"/>
    <row r="842" ht="23.1" customHeight="1"/>
    <row r="843" ht="23.1" customHeight="1"/>
    <row r="844" ht="23.1" customHeight="1"/>
    <row r="845" ht="23.1" customHeight="1"/>
    <row r="846" ht="23.1" customHeight="1"/>
    <row r="847" ht="23.1" customHeight="1"/>
    <row r="848" ht="23.1" customHeight="1"/>
    <row r="849" ht="23.1" customHeight="1"/>
    <row r="850" ht="23.1" customHeight="1"/>
    <row r="851" ht="23.1" customHeight="1"/>
    <row r="852" ht="23.1" customHeight="1"/>
    <row r="853" ht="23.1" customHeight="1"/>
    <row r="854" ht="23.1" customHeight="1"/>
    <row r="855" ht="23.1" customHeight="1"/>
    <row r="856" ht="23.1" customHeight="1"/>
    <row r="857" ht="23.1" customHeight="1"/>
    <row r="858" ht="23.1" customHeight="1"/>
    <row r="859" ht="14.1" customHeight="1"/>
    <row r="860" ht="14.1" customHeight="1"/>
    <row r="861" ht="23.1" customHeight="1"/>
    <row r="862" ht="23.1" customHeight="1"/>
    <row r="863" ht="23.1" customHeight="1"/>
    <row r="864" ht="23.1" customHeight="1"/>
    <row r="865" ht="23.1" customHeight="1"/>
    <row r="866" ht="23.1" customHeight="1"/>
    <row r="867" ht="23.1" customHeight="1"/>
    <row r="868" ht="23.1" customHeight="1"/>
    <row r="869" ht="23.1" customHeight="1"/>
    <row r="870" ht="23.1" customHeight="1"/>
    <row r="871" ht="23.1" customHeight="1"/>
    <row r="872" ht="23.1" customHeight="1"/>
    <row r="873" ht="23.1" customHeight="1"/>
    <row r="874" ht="23.1" customHeight="1"/>
    <row r="875" ht="23.1" customHeight="1"/>
    <row r="876" ht="23.1" customHeight="1"/>
    <row r="877" ht="23.1" customHeight="1"/>
    <row r="878" ht="23.1" customHeight="1"/>
    <row r="879" ht="23.1" customHeight="1"/>
    <row r="880" ht="23.1" customHeight="1"/>
    <row r="881" ht="23.1" customHeight="1"/>
    <row r="882" ht="23.1" customHeight="1"/>
    <row r="883" ht="23.1" customHeight="1"/>
    <row r="884" ht="23.1" customHeight="1"/>
    <row r="885" ht="23.1" customHeight="1"/>
    <row r="886" ht="23.1" customHeight="1"/>
    <row r="887" ht="23.1" customHeight="1"/>
    <row r="888" ht="23.1" customHeight="1"/>
    <row r="889" ht="23.1" customHeight="1"/>
    <row r="890" ht="23.1" customHeight="1"/>
    <row r="891" ht="23.1" customHeight="1"/>
    <row r="892" ht="23.1" customHeight="1"/>
    <row r="893" ht="23.1" customHeight="1"/>
    <row r="894" ht="23.1" customHeight="1"/>
    <row r="895" ht="23.1" customHeight="1"/>
    <row r="896" ht="23.1" customHeight="1"/>
    <row r="897" ht="23.1" customHeight="1"/>
    <row r="898" ht="23.1" customHeight="1"/>
    <row r="899" ht="23.1" customHeight="1"/>
    <row r="900" ht="23.1" customHeight="1"/>
    <row r="901" ht="23.1" customHeight="1"/>
    <row r="902" ht="23.1" customHeight="1"/>
    <row r="903" ht="23.1" customHeight="1"/>
    <row r="904" ht="23.1" customHeight="1"/>
    <row r="905" ht="23.1" customHeight="1"/>
    <row r="906" ht="23.1" customHeight="1"/>
    <row r="907" ht="23.1" customHeight="1"/>
    <row r="908" ht="23.1" customHeight="1"/>
    <row r="909" ht="23.1" customHeight="1"/>
    <row r="910" ht="23.1" customHeight="1"/>
    <row r="911" ht="23.1" customHeight="1"/>
    <row r="912" ht="23.1" customHeight="1"/>
    <row r="913" ht="23.1" customHeight="1"/>
    <row r="914" ht="23.1" customHeight="1"/>
    <row r="915" ht="23.1" customHeight="1"/>
    <row r="916" ht="23.1" customHeight="1"/>
    <row r="917" ht="23.1" customHeight="1"/>
    <row r="918" ht="23.1" customHeight="1"/>
    <row r="919" ht="23.1" customHeight="1"/>
    <row r="920" ht="23.1" customHeight="1"/>
    <row r="921" ht="23.1" customHeight="1"/>
    <row r="922" ht="23.1" customHeight="1"/>
    <row r="923" ht="23.1" customHeight="1"/>
    <row r="924" ht="14.1" customHeight="1"/>
    <row r="925" ht="14.1" customHeight="1"/>
    <row r="926" ht="23.1" customHeight="1"/>
    <row r="927" ht="23.1" customHeight="1"/>
    <row r="928" ht="23.1" customHeight="1"/>
    <row r="929" ht="23.1" customHeight="1"/>
    <row r="930" ht="23.1" customHeight="1"/>
    <row r="931" ht="23.1" customHeight="1"/>
    <row r="932" ht="23.1" customHeight="1"/>
    <row r="933" ht="23.1" customHeight="1"/>
    <row r="934" ht="23.1" customHeight="1"/>
    <row r="935" ht="23.1" customHeight="1"/>
    <row r="936" ht="23.1" customHeight="1"/>
    <row r="937" ht="23.1" customHeight="1"/>
    <row r="938" ht="23.1" customHeight="1"/>
    <row r="939" ht="23.1" customHeight="1"/>
    <row r="940" ht="23.1" customHeight="1"/>
    <row r="941" ht="23.1" customHeight="1"/>
    <row r="942" ht="23.1" customHeight="1"/>
    <row r="943" ht="23.1" customHeight="1"/>
    <row r="944" ht="23.1" customHeight="1"/>
    <row r="945" ht="23.1" customHeight="1"/>
    <row r="946" ht="23.1" customHeight="1"/>
    <row r="947" ht="23.1" customHeight="1"/>
    <row r="948" ht="23.1" customHeight="1"/>
    <row r="949" ht="23.1" customHeight="1"/>
    <row r="950" ht="23.1" customHeight="1"/>
    <row r="951" ht="23.1" customHeight="1"/>
    <row r="952" ht="23.1" customHeight="1"/>
    <row r="953" ht="23.1" customHeight="1"/>
    <row r="954" ht="23.1" customHeight="1"/>
    <row r="955" ht="23.1" customHeight="1"/>
    <row r="956" ht="23.1" customHeight="1"/>
    <row r="957" ht="23.1" customHeight="1"/>
    <row r="958" ht="23.1" customHeight="1"/>
    <row r="959" ht="23.1" customHeight="1"/>
    <row r="960" ht="23.1" customHeight="1"/>
    <row r="961" ht="23.1" customHeight="1"/>
    <row r="962" ht="23.1" customHeight="1"/>
    <row r="963" ht="23.1" customHeight="1"/>
    <row r="964" ht="14.1" customHeight="1"/>
    <row r="965" ht="23.1" customHeight="1"/>
    <row r="966" ht="23.1" customHeight="1"/>
    <row r="967" ht="23.1" customHeight="1"/>
    <row r="968" ht="23.1" customHeight="1"/>
    <row r="969" ht="23.1" customHeight="1"/>
    <row r="970" ht="23.1" customHeight="1"/>
    <row r="971" ht="23.1" customHeight="1"/>
    <row r="972" ht="23.1" customHeight="1"/>
    <row r="973" ht="23.1" customHeight="1"/>
    <row r="974" ht="23.1" customHeight="1"/>
    <row r="975" ht="23.1" customHeight="1"/>
    <row r="976" ht="23.1" customHeight="1"/>
    <row r="977" ht="23.1" customHeight="1"/>
    <row r="978" ht="23.1" customHeight="1"/>
    <row r="979" ht="23.1" customHeight="1"/>
    <row r="980" ht="23.1" customHeight="1"/>
    <row r="981" ht="23.1" customHeight="1"/>
    <row r="982" ht="23.1" customHeight="1"/>
    <row r="983" ht="23.1" customHeight="1"/>
    <row r="984" ht="23.1" customHeight="1"/>
    <row r="985" ht="23.1" customHeight="1"/>
    <row r="986" ht="23.1" customHeight="1"/>
    <row r="987" ht="23.1" customHeight="1"/>
    <row r="988" ht="23.1" customHeight="1"/>
    <row r="989" ht="23.1" customHeight="1"/>
    <row r="990" ht="23.1" customHeight="1"/>
    <row r="991" ht="23.1" customHeight="1"/>
    <row r="992" ht="23.1" customHeight="1"/>
    <row r="993" ht="23.1" customHeight="1"/>
    <row r="994" ht="14.1" customHeight="1"/>
    <row r="995" ht="23.1" customHeight="1"/>
    <row r="996" ht="23.1" customHeight="1"/>
    <row r="997" ht="23.1" customHeight="1"/>
    <row r="998" ht="23.1" customHeight="1"/>
    <row r="999" ht="23.1" customHeight="1"/>
    <row r="1000" ht="23.1" customHeight="1"/>
    <row r="1001" ht="23.1" customHeight="1"/>
    <row r="1002" ht="23.1" customHeight="1"/>
    <row r="1003" ht="23.1" customHeight="1"/>
    <row r="1004" ht="23.1" customHeight="1"/>
    <row r="1005" ht="23.1" customHeight="1"/>
    <row r="1006" ht="23.1" customHeight="1"/>
    <row r="1007" ht="23.1" customHeight="1"/>
    <row r="1008" ht="23.1" customHeight="1"/>
    <row r="1009" ht="23.1" customHeight="1"/>
    <row r="1010" ht="23.1" customHeight="1"/>
    <row r="1011" ht="23.1" customHeight="1"/>
    <row r="1012" ht="23.1" customHeight="1"/>
    <row r="1013" ht="23.1" customHeight="1"/>
    <row r="1014" ht="23.1" customHeight="1"/>
    <row r="1015" ht="23.1" customHeight="1"/>
    <row r="1016" ht="23.1" customHeight="1"/>
    <row r="1017" ht="23.1" customHeight="1"/>
    <row r="1018" ht="23.1" customHeight="1"/>
    <row r="1019" ht="23.1" customHeight="1"/>
    <row r="1020" ht="23.1" customHeight="1"/>
    <row r="1021" ht="23.1" customHeight="1"/>
    <row r="1022" ht="23.1" customHeight="1"/>
    <row r="1023" ht="23.1" customHeight="1"/>
    <row r="1024" ht="23.1" customHeight="1"/>
    <row r="1025" ht="23.1" customHeight="1"/>
    <row r="1026" ht="23.1" customHeight="1"/>
    <row r="1027" ht="23.1" customHeight="1"/>
    <row r="1028" ht="23.1" customHeight="1"/>
    <row r="1029" ht="23.1" customHeight="1"/>
    <row r="1030" ht="23.1" customHeight="1"/>
    <row r="1031" ht="23.1" customHeight="1"/>
    <row r="1032" ht="23.1" customHeight="1"/>
    <row r="1033" ht="23.1" customHeight="1"/>
    <row r="1034" ht="23.1" customHeight="1"/>
    <row r="1035" ht="23.1" customHeight="1"/>
    <row r="1036" ht="23.1" customHeight="1"/>
    <row r="1037" ht="23.1" customHeight="1"/>
    <row r="1038" ht="23.1" customHeight="1"/>
    <row r="1039" ht="23.1" customHeight="1"/>
    <row r="1040" ht="23.1" customHeight="1"/>
    <row r="1041" ht="23.1" customHeight="1"/>
    <row r="1042" ht="23.1" customHeight="1"/>
    <row r="1043" ht="23.1" customHeight="1"/>
    <row r="1044" ht="23.1" customHeight="1"/>
    <row r="1045" ht="14.1" customHeight="1"/>
    <row r="1046" ht="23.1" customHeight="1"/>
    <row r="1047" ht="23.1" customHeight="1"/>
    <row r="1048" ht="23.1" customHeight="1"/>
    <row r="1049" ht="23.1" customHeight="1"/>
    <row r="1050" ht="23.1" customHeight="1"/>
    <row r="1051" ht="23.1" customHeight="1"/>
    <row r="1052" ht="23.1" customHeight="1"/>
    <row r="1053" ht="23.1" customHeight="1"/>
    <row r="1054" ht="23.1" customHeight="1"/>
    <row r="1055" ht="23.1" customHeight="1"/>
    <row r="1056" ht="23.1" customHeight="1"/>
    <row r="1057" ht="23.1" customHeight="1"/>
    <row r="1058" ht="23.1" customHeight="1"/>
    <row r="1059" ht="23.1" customHeight="1"/>
    <row r="1060" ht="23.1" customHeight="1"/>
    <row r="1061" ht="23.1" customHeight="1"/>
    <row r="1062" ht="23.1" customHeight="1"/>
    <row r="1063" ht="23.1" customHeight="1"/>
    <row r="1064" ht="23.1" customHeight="1"/>
    <row r="1065" ht="23.1" customHeight="1"/>
    <row r="1066" ht="23.1" customHeight="1"/>
    <row r="1067" ht="23.1" customHeight="1"/>
    <row r="1068" ht="23.1" customHeight="1"/>
    <row r="1069" ht="23.1" customHeight="1"/>
    <row r="1070" ht="23.1" customHeight="1"/>
    <row r="1071" ht="23.1" customHeight="1"/>
    <row r="1072" ht="23.1" customHeight="1"/>
    <row r="1073" ht="23.1" customHeight="1"/>
    <row r="1074" ht="23.1" customHeight="1"/>
    <row r="1075" ht="23.1" customHeight="1"/>
    <row r="1076" ht="23.1" customHeight="1"/>
    <row r="1077" ht="23.1" customHeight="1"/>
    <row r="1078" ht="23.1" customHeight="1"/>
    <row r="1079" ht="23.1" customHeight="1"/>
    <row r="1080" ht="23.1" customHeight="1"/>
    <row r="1081" ht="23.1" customHeight="1"/>
    <row r="1082" ht="23.1" customHeight="1"/>
    <row r="1083" ht="23.1" customHeight="1"/>
    <row r="1084" ht="23.1" customHeight="1"/>
    <row r="1085" ht="23.1" customHeight="1"/>
    <row r="1086" ht="23.1" customHeight="1"/>
    <row r="1087" ht="23.1" customHeight="1"/>
    <row r="1088" ht="14.1" customHeight="1"/>
    <row r="1089" ht="23.1" customHeight="1"/>
    <row r="1090" ht="23.1" customHeight="1"/>
    <row r="1091" ht="23.1" customHeight="1"/>
    <row r="1092" ht="23.1" customHeight="1"/>
    <row r="1093" ht="23.1" customHeight="1"/>
    <row r="1094" ht="23.1" customHeight="1"/>
    <row r="1095" ht="23.1" customHeight="1"/>
    <row r="1096" ht="23.1" customHeight="1"/>
    <row r="1097" ht="23.1" customHeight="1"/>
    <row r="1098" ht="23.1" customHeight="1"/>
    <row r="1099" ht="23.1" customHeight="1"/>
    <row r="1100" ht="23.1" customHeight="1"/>
    <row r="1101" ht="23.1" customHeight="1"/>
    <row r="1102" ht="23.1" customHeight="1"/>
    <row r="1103" ht="23.1" customHeight="1"/>
    <row r="1104" ht="23.1" customHeight="1"/>
    <row r="1105" ht="23.1" customHeight="1"/>
    <row r="1106" ht="23.1" customHeight="1"/>
    <row r="1107" ht="23.1" customHeight="1"/>
    <row r="1108" ht="23.1" customHeight="1"/>
    <row r="1109" ht="23.1" customHeight="1"/>
    <row r="1110" ht="23.1" customHeight="1"/>
    <row r="1111" ht="23.1" customHeight="1"/>
    <row r="1112" ht="23.1" customHeight="1"/>
    <row r="1113" ht="23.1" customHeight="1"/>
    <row r="1114" ht="23.1" customHeight="1"/>
    <row r="1115" ht="23.1" customHeight="1"/>
    <row r="1116" ht="14.1" customHeight="1"/>
    <row r="1117" ht="23.1" customHeight="1"/>
    <row r="1118" ht="23.1" customHeight="1"/>
    <row r="1119" ht="23.1" customHeight="1"/>
    <row r="1120" ht="23.1" customHeight="1"/>
    <row r="1121" ht="23.1" customHeight="1"/>
    <row r="1122" ht="23.1" customHeight="1"/>
    <row r="1123" ht="23.1" customHeight="1"/>
    <row r="1124" ht="23.1" customHeight="1"/>
    <row r="1125" ht="23.1" customHeight="1"/>
    <row r="1126" ht="23.1" customHeight="1"/>
    <row r="1127" ht="23.1" customHeight="1"/>
    <row r="1128" ht="23.1" customHeight="1"/>
    <row r="1129" ht="23.1" customHeight="1"/>
    <row r="1130" ht="23.1" customHeight="1"/>
    <row r="1131" ht="23.1" customHeight="1"/>
    <row r="1132" ht="23.1" customHeight="1"/>
    <row r="1133" ht="23.1" customHeight="1"/>
    <row r="1134" ht="23.1" customHeight="1"/>
    <row r="1135" ht="14.1" customHeight="1"/>
    <row r="1136" ht="23.1" customHeight="1"/>
    <row r="1137" ht="23.1" customHeight="1"/>
    <row r="1138" ht="23.1" customHeight="1"/>
    <row r="1139" ht="23.1" customHeight="1"/>
    <row r="1140" ht="23.1" customHeight="1"/>
    <row r="1141" ht="23.1" customHeight="1"/>
    <row r="1142" ht="23.1" customHeight="1"/>
    <row r="1143" ht="23.1" customHeight="1"/>
    <row r="1144" ht="23.1" customHeight="1"/>
    <row r="1145" ht="23.1" customHeight="1"/>
    <row r="1146" ht="23.1" customHeight="1"/>
    <row r="1147" ht="23.1" customHeight="1"/>
    <row r="1148" ht="23.1" customHeight="1"/>
    <row r="1149" ht="23.1" customHeight="1"/>
    <row r="1150" ht="23.1" customHeight="1"/>
    <row r="1151" ht="23.1" customHeight="1"/>
    <row r="1152" ht="23.1" customHeight="1"/>
    <row r="1153" ht="23.1" customHeight="1"/>
    <row r="1154" ht="23.1" customHeight="1"/>
    <row r="1155" ht="23.1" customHeight="1"/>
    <row r="1156" ht="23.1" customHeight="1"/>
    <row r="1157" ht="23.1" customHeight="1"/>
    <row r="1158" ht="23.1" customHeight="1"/>
    <row r="1159" ht="23.1" customHeight="1"/>
    <row r="1160" ht="23.1" customHeight="1"/>
    <row r="1161" ht="23.1" customHeight="1"/>
    <row r="1162" ht="23.1" customHeight="1"/>
    <row r="1163" ht="23.1" customHeight="1"/>
    <row r="1164" ht="23.1" customHeight="1"/>
    <row r="1165" ht="23.1" customHeight="1"/>
    <row r="1166" ht="23.1" customHeight="1"/>
    <row r="1167" ht="23.1" customHeight="1"/>
    <row r="1168" ht="23.1" customHeight="1"/>
    <row r="1169" ht="23.1" customHeight="1"/>
    <row r="1170" ht="23.1" customHeight="1"/>
    <row r="1171" ht="23.1" customHeight="1"/>
    <row r="1172" ht="23.1" customHeight="1"/>
    <row r="1173" ht="23.1" customHeight="1"/>
    <row r="1174" ht="23.1" customHeight="1"/>
    <row r="1175" ht="23.1" customHeight="1"/>
    <row r="1176" ht="23.1" customHeight="1"/>
    <row r="1177" ht="23.1" customHeight="1"/>
    <row r="1178" ht="23.1" customHeight="1"/>
    <row r="1179" ht="23.1" customHeight="1"/>
    <row r="1180" ht="23.1" customHeight="1"/>
    <row r="1181" ht="23.1" customHeight="1"/>
    <row r="1182" ht="23.1" customHeight="1"/>
    <row r="1183" ht="23.1" customHeight="1"/>
    <row r="1184" ht="23.1" customHeight="1"/>
    <row r="1185" ht="23.1" customHeight="1"/>
    <row r="1186" ht="23.1" customHeight="1"/>
    <row r="1187" ht="23.1" customHeight="1"/>
    <row r="1188" ht="23.1" customHeight="1"/>
    <row r="1189" ht="23.1" customHeight="1"/>
    <row r="1190" ht="23.1" customHeight="1"/>
    <row r="1191" ht="23.1" customHeight="1"/>
    <row r="1192" ht="23.1" customHeight="1"/>
    <row r="1193" ht="23.1" customHeight="1"/>
    <row r="1194" ht="23.1" customHeight="1"/>
    <row r="1195" ht="23.1" customHeight="1"/>
    <row r="1196" ht="23.1" customHeight="1"/>
    <row r="1197" ht="23.1" customHeight="1"/>
    <row r="1198" ht="23.1" customHeight="1"/>
    <row r="1199" ht="23.1" customHeight="1"/>
    <row r="1200" ht="23.1" customHeight="1"/>
    <row r="1201" ht="23.1" customHeight="1"/>
    <row r="1202" ht="23.1" customHeight="1"/>
    <row r="1203" ht="23.1" customHeight="1"/>
    <row r="1204" ht="23.1" customHeight="1"/>
    <row r="1205" ht="23.1" customHeight="1"/>
    <row r="1206" ht="23.1" customHeight="1"/>
    <row r="1207" ht="23.1" customHeight="1"/>
    <row r="1208" ht="23.1" customHeight="1"/>
    <row r="1209" ht="23.1" customHeight="1"/>
    <row r="1210" ht="14.1" customHeight="1"/>
    <row r="1211" ht="23.1" customHeight="1"/>
    <row r="1212" ht="23.1" customHeight="1"/>
    <row r="1213" ht="23.1" customHeight="1"/>
    <row r="1214" ht="23.1" customHeight="1"/>
    <row r="1215" ht="23.1" customHeight="1"/>
    <row r="1216" ht="23.1" customHeight="1"/>
    <row r="1217" ht="23.1" customHeight="1"/>
    <row r="1218" ht="23.1" customHeight="1"/>
    <row r="1219" ht="23.1" customHeight="1"/>
    <row r="1220" ht="23.1" customHeight="1"/>
    <row r="1221" ht="23.1" customHeight="1"/>
    <row r="1222" ht="23.1" customHeight="1"/>
    <row r="1223" ht="23.1" customHeight="1"/>
    <row r="1224" ht="23.1" customHeight="1"/>
    <row r="1225" ht="23.1" customHeight="1"/>
    <row r="1226" ht="23.1" customHeight="1"/>
    <row r="1227" ht="23.1" customHeight="1"/>
    <row r="1228" ht="23.1" customHeight="1"/>
    <row r="1229" ht="23.1" customHeight="1"/>
    <row r="1230" ht="23.1" customHeight="1"/>
    <row r="1231" ht="23.1" customHeight="1"/>
    <row r="1232" ht="23.1" customHeight="1"/>
    <row r="1233" ht="14.1" customHeight="1"/>
    <row r="1234" ht="14.1" customHeight="1"/>
    <row r="1235" ht="23.1" customHeight="1"/>
    <row r="1236" ht="23.1" customHeight="1"/>
    <row r="1237" ht="23.1" customHeight="1"/>
    <row r="1238" ht="23.1" customHeight="1"/>
    <row r="1239" ht="23.1" customHeight="1"/>
    <row r="1240" ht="23.1" customHeight="1"/>
    <row r="1241" ht="23.1" customHeight="1"/>
    <row r="1242" ht="23.1" customHeight="1"/>
    <row r="1243" ht="23.1" customHeight="1"/>
    <row r="1244" ht="23.1" customHeight="1"/>
    <row r="1245" ht="23.1" customHeight="1"/>
    <row r="1246" ht="23.1" customHeight="1"/>
    <row r="1247" ht="23.1" customHeight="1"/>
    <row r="1248" ht="23.1" customHeight="1"/>
    <row r="1249" ht="23.1" customHeight="1"/>
    <row r="1250" ht="23.1" customHeight="1"/>
    <row r="1251" ht="23.1" customHeight="1"/>
    <row r="1252" ht="23.1" customHeight="1"/>
    <row r="1253" ht="23.1" customHeight="1"/>
    <row r="1254" ht="23.1" customHeight="1"/>
    <row r="1255" ht="23.1" customHeight="1"/>
    <row r="1256" ht="23.1" customHeight="1"/>
    <row r="1257" ht="23.1" customHeight="1"/>
    <row r="1258" ht="23.1" customHeight="1"/>
    <row r="1259" ht="23.1" customHeight="1"/>
    <row r="1260" ht="23.1" customHeight="1"/>
    <row r="1261" ht="23.1" customHeight="1"/>
    <row r="1262" ht="23.1" customHeight="1"/>
    <row r="1263" ht="23.1" customHeight="1"/>
    <row r="1264" ht="23.1" customHeight="1"/>
    <row r="1265" ht="23.1" customHeight="1"/>
    <row r="1266" ht="23.1" customHeight="1"/>
    <row r="1267" ht="23.1" customHeight="1"/>
    <row r="1268" ht="23.1" customHeight="1"/>
    <row r="1269" ht="23.1" customHeight="1"/>
    <row r="1270" ht="23.1" customHeight="1"/>
    <row r="1271" ht="23.1" customHeight="1"/>
    <row r="1272" ht="23.1" customHeight="1"/>
    <row r="1273" ht="23.1" customHeight="1"/>
    <row r="1274" ht="23.1" customHeight="1"/>
    <row r="1275" ht="23.1" customHeight="1"/>
    <row r="1276" ht="23.1" customHeight="1"/>
    <row r="1277" ht="23.1" customHeight="1"/>
    <row r="1278" ht="23.1" customHeight="1"/>
    <row r="1279" ht="14.1" customHeight="1"/>
    <row r="1280" ht="23.1" customHeight="1"/>
    <row r="1281" ht="14.1" customHeight="1"/>
    <row r="1282" ht="14.1" customHeight="1"/>
    <row r="1283" ht="23.1" customHeight="1"/>
    <row r="1284" ht="23.1" customHeight="1"/>
    <row r="1285" ht="23.1" customHeight="1"/>
    <row r="1286" ht="14.1" customHeight="1"/>
    <row r="1287" ht="14.1" customHeight="1"/>
    <row r="1288" ht="23.1" customHeight="1"/>
    <row r="1289" ht="23.1" customHeight="1"/>
    <row r="1290" ht="23.1" customHeight="1"/>
    <row r="1291" ht="23.1" customHeight="1"/>
    <row r="1292" ht="23.1" customHeight="1"/>
    <row r="1293" ht="23.1" customHeight="1"/>
    <row r="1294" ht="23.1" customHeight="1"/>
    <row r="1295" ht="23.1" customHeight="1"/>
    <row r="1296" ht="23.1" customHeight="1"/>
    <row r="1297" ht="23.1" customHeight="1"/>
    <row r="1298" ht="23.1" customHeight="1"/>
    <row r="1299" ht="23.1" customHeight="1"/>
    <row r="1300" ht="23.1" customHeight="1"/>
    <row r="1301" ht="23.1" customHeight="1"/>
    <row r="1302" ht="23.1" customHeight="1"/>
    <row r="1303" ht="23.1" customHeight="1"/>
    <row r="1304" ht="23.1" customHeight="1"/>
    <row r="1305" ht="23.1" customHeight="1"/>
    <row r="1306" ht="23.1" customHeight="1"/>
    <row r="1307" ht="23.1" customHeight="1"/>
    <row r="1308" ht="23.1" customHeight="1"/>
    <row r="1309" ht="23.1" customHeight="1"/>
    <row r="1310" ht="23.1" customHeight="1"/>
    <row r="1311" ht="23.1" customHeight="1"/>
    <row r="1312" ht="23.1" customHeight="1"/>
    <row r="1313" ht="23.1" customHeight="1"/>
    <row r="1314" ht="23.1" customHeight="1"/>
    <row r="1315" ht="23.1" customHeight="1"/>
    <row r="1316" ht="23.1" customHeight="1"/>
    <row r="1317" ht="23.1" customHeight="1"/>
    <row r="1318" ht="23.1" customHeight="1"/>
    <row r="1319" ht="23.1" customHeight="1"/>
    <row r="1320" ht="23.1" customHeight="1"/>
    <row r="1321" ht="23.1" customHeight="1"/>
    <row r="1322" ht="23.1" customHeight="1"/>
    <row r="1323" ht="23.1" customHeight="1"/>
    <row r="1324" ht="23.1" customHeight="1"/>
    <row r="1325" ht="23.1" customHeight="1"/>
    <row r="1326" ht="23.1" customHeight="1"/>
    <row r="1327" ht="23.1" customHeight="1"/>
    <row r="1328" ht="23.1" customHeight="1"/>
    <row r="1329" ht="23.1" customHeight="1"/>
    <row r="1330" ht="23.1" customHeight="1"/>
    <row r="1331" ht="23.1" customHeight="1"/>
    <row r="1332" ht="23.1" customHeight="1"/>
    <row r="1333" ht="23.1" customHeight="1"/>
    <row r="1334" ht="23.1" customHeight="1"/>
    <row r="1335" ht="23.1" customHeight="1"/>
    <row r="1336" ht="23.1" customHeight="1"/>
    <row r="1337" ht="23.1" customHeight="1"/>
    <row r="1338" ht="23.1" customHeight="1"/>
    <row r="1339" ht="23.1" customHeight="1"/>
    <row r="1340" ht="23.1" customHeight="1"/>
    <row r="1341" ht="23.1" customHeight="1"/>
    <row r="1342" ht="23.1" customHeight="1"/>
    <row r="1343" ht="23.1" customHeight="1"/>
    <row r="1344" ht="23.1" customHeight="1"/>
    <row r="1345" ht="23.1" customHeight="1"/>
    <row r="1346" ht="23.1" customHeight="1"/>
    <row r="1347" ht="23.1" customHeight="1"/>
    <row r="1348" ht="23.1" customHeight="1"/>
    <row r="1349" ht="23.1" customHeight="1"/>
    <row r="1350" ht="14.1" customHeight="1"/>
    <row r="1351" ht="23.1" customHeight="1"/>
    <row r="1352" ht="23.1" customHeight="1"/>
    <row r="1353" ht="23.1" customHeight="1"/>
    <row r="1354" ht="23.1" customHeight="1"/>
    <row r="1355" ht="23.1" customHeight="1"/>
    <row r="1356" ht="23.1" customHeight="1"/>
    <row r="1357" ht="23.1" customHeight="1"/>
    <row r="1358" ht="23.1" customHeight="1"/>
    <row r="1359" ht="23.1" customHeight="1"/>
    <row r="1360" ht="23.1" customHeight="1"/>
    <row r="1361" ht="23.1" customHeight="1"/>
    <row r="1362" ht="23.1" customHeight="1"/>
    <row r="1363" ht="23.1" customHeight="1"/>
    <row r="1364" ht="23.1" customHeight="1"/>
    <row r="1365" ht="23.1" customHeight="1"/>
    <row r="1366" ht="23.1" customHeight="1"/>
    <row r="1367" ht="23.1" customHeight="1"/>
    <row r="1368" ht="23.1" customHeight="1"/>
    <row r="1369" ht="23.1" customHeight="1"/>
    <row r="1370" ht="23.1" customHeight="1"/>
    <row r="1371" ht="23.1" customHeight="1"/>
    <row r="1372" ht="14.1" customHeight="1"/>
    <row r="1373" ht="14.1" customHeight="1"/>
    <row r="1374" ht="23.1" customHeight="1"/>
    <row r="1375" ht="23.1" customHeight="1"/>
    <row r="1376" ht="23.1" customHeight="1"/>
    <row r="1377" ht="23.1" customHeight="1"/>
    <row r="1378" ht="23.1" customHeight="1"/>
    <row r="1379" ht="23.1" customHeight="1"/>
    <row r="1380" ht="23.1" customHeight="1"/>
    <row r="1381" ht="23.1" customHeight="1"/>
    <row r="1382" ht="23.1" customHeight="1"/>
    <row r="1383" ht="23.1" customHeight="1"/>
    <row r="1384" ht="23.1" customHeight="1"/>
    <row r="1385" ht="23.1" customHeight="1"/>
    <row r="1386" ht="23.1" customHeight="1"/>
    <row r="1387" ht="23.1" customHeight="1"/>
    <row r="1388" ht="23.1" customHeight="1"/>
    <row r="1389" ht="23.1" customHeight="1"/>
    <row r="1390" ht="23.1" customHeight="1"/>
    <row r="1391" ht="23.1" customHeight="1"/>
    <row r="1392" ht="23.1" customHeight="1"/>
    <row r="1393" ht="23.1" customHeight="1"/>
    <row r="1394" ht="23.1" customHeight="1"/>
    <row r="1395" ht="23.1" customHeight="1"/>
    <row r="1396" ht="23.1" customHeight="1"/>
    <row r="1397" ht="23.1" customHeight="1"/>
    <row r="1398" ht="23.1" customHeight="1"/>
    <row r="1399" ht="23.1" customHeight="1"/>
    <row r="1400" ht="23.1" customHeight="1"/>
    <row r="1401" ht="23.1" customHeight="1"/>
    <row r="1402" ht="23.1" customHeight="1"/>
    <row r="1403" ht="23.1" customHeight="1"/>
    <row r="1404" ht="23.1" customHeight="1"/>
    <row r="1405" ht="23.1" customHeight="1"/>
    <row r="1406" ht="23.1" customHeight="1"/>
    <row r="1407" ht="23.1" customHeight="1"/>
    <row r="1408" ht="23.1" customHeight="1"/>
    <row r="1409" ht="23.1" customHeight="1"/>
  </sheetData>
  <pageMargins left="0" right="0" top="0" bottom="0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activeCell="F8" sqref="F8"/>
    </sheetView>
  </sheetViews>
  <sheetFormatPr defaultRowHeight="14.4"/>
  <cols>
    <col min="1" max="1" width="23.33203125" bestFit="1" customWidth="1"/>
    <col min="2" max="2" width="16.88671875" style="6" bestFit="1" customWidth="1"/>
    <col min="3" max="3" width="14.44140625" style="6" bestFit="1" customWidth="1"/>
    <col min="4" max="4" width="16.88671875" style="6" bestFit="1" customWidth="1"/>
    <col min="5" max="5" width="14.5546875" style="6" bestFit="1" customWidth="1"/>
    <col min="6" max="6" width="12.109375" style="6" bestFit="1" customWidth="1"/>
    <col min="7" max="7" width="11.33203125" bestFit="1" customWidth="1"/>
  </cols>
  <sheetData>
    <row r="1" spans="1:6">
      <c r="A1" s="4" t="s">
        <v>10</v>
      </c>
      <c r="B1" s="7" t="s">
        <v>32</v>
      </c>
    </row>
    <row r="3" spans="1:6">
      <c r="A3" s="4" t="s">
        <v>1454</v>
      </c>
      <c r="B3" s="8" t="s">
        <v>1455</v>
      </c>
      <c r="C3" s="7"/>
      <c r="D3" s="7"/>
      <c r="E3" s="7"/>
      <c r="F3" s="7"/>
    </row>
    <row r="4" spans="1:6">
      <c r="A4" s="4" t="s">
        <v>1456</v>
      </c>
      <c r="B4" s="7" t="s">
        <v>1457</v>
      </c>
      <c r="C4" s="7" t="s">
        <v>1458</v>
      </c>
      <c r="D4" s="7" t="s">
        <v>1459</v>
      </c>
      <c r="E4" s="7" t="s">
        <v>1460</v>
      </c>
      <c r="F4" s="7" t="s">
        <v>1461</v>
      </c>
    </row>
    <row r="5" spans="1:6">
      <c r="A5" s="5" t="s">
        <v>33</v>
      </c>
      <c r="B5" s="7">
        <v>4940500</v>
      </c>
      <c r="C5" s="7"/>
      <c r="D5" s="7">
        <v>1970000</v>
      </c>
      <c r="E5" s="7">
        <v>3565000</v>
      </c>
      <c r="F5" s="7">
        <v>10475500</v>
      </c>
    </row>
    <row r="6" spans="1:6">
      <c r="A6" s="5" t="s">
        <v>49</v>
      </c>
      <c r="B6" s="7">
        <v>4529900</v>
      </c>
      <c r="C6" s="7">
        <v>24000</v>
      </c>
      <c r="D6" s="7">
        <v>400000</v>
      </c>
      <c r="E6" s="7">
        <v>3453500</v>
      </c>
      <c r="F6" s="7">
        <v>8407400</v>
      </c>
    </row>
    <row r="7" spans="1:6">
      <c r="A7" s="5" t="s">
        <v>86</v>
      </c>
      <c r="B7" s="7">
        <v>3275000</v>
      </c>
      <c r="C7" s="7">
        <v>200000</v>
      </c>
      <c r="D7" s="7">
        <v>510000</v>
      </c>
      <c r="E7" s="7">
        <v>2113000</v>
      </c>
      <c r="F7" s="7">
        <v>6098000</v>
      </c>
    </row>
    <row r="8" spans="1:6">
      <c r="A8" s="5" t="s">
        <v>127</v>
      </c>
      <c r="B8" s="7">
        <v>2972000</v>
      </c>
      <c r="C8" s="7"/>
      <c r="D8" s="7"/>
      <c r="E8" s="7">
        <v>456000</v>
      </c>
      <c r="F8" s="7">
        <v>3428000</v>
      </c>
    </row>
    <row r="9" spans="1:6">
      <c r="A9" s="5" t="s">
        <v>71</v>
      </c>
      <c r="B9" s="7">
        <v>1701500</v>
      </c>
      <c r="C9" s="7">
        <v>50000</v>
      </c>
      <c r="D9" s="7"/>
      <c r="E9" s="7">
        <v>340000</v>
      </c>
      <c r="F9" s="7">
        <v>2091500</v>
      </c>
    </row>
    <row r="10" spans="1:6">
      <c r="A10" s="5" t="s">
        <v>1461</v>
      </c>
      <c r="B10" s="7">
        <v>17418900</v>
      </c>
      <c r="C10" s="7">
        <v>274000</v>
      </c>
      <c r="D10" s="7">
        <v>2880000</v>
      </c>
      <c r="E10" s="7">
        <v>9927500</v>
      </c>
      <c r="F10" s="7">
        <v>30500400</v>
      </c>
    </row>
    <row r="11" spans="1:6">
      <c r="B11"/>
      <c r="C11"/>
      <c r="D11"/>
      <c r="E11"/>
      <c r="F11"/>
    </row>
    <row r="12" spans="1:6">
      <c r="B12"/>
      <c r="C12"/>
      <c r="D12"/>
      <c r="E12"/>
      <c r="F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"/>
  <sheetViews>
    <sheetView workbookViewId="0">
      <pane xSplit="1" ySplit="4" topLeftCell="X5" activePane="bottomRight" state="frozen"/>
      <selection pane="topRight"/>
      <selection pane="bottomLeft"/>
      <selection pane="bottomRight" activeCell="AC16" sqref="AC16"/>
    </sheetView>
  </sheetViews>
  <sheetFormatPr defaultRowHeight="14.4"/>
  <cols>
    <col min="1" max="1" width="22" customWidth="1"/>
    <col min="2" max="3" width="10" customWidth="1"/>
    <col min="4" max="4" width="17" customWidth="1"/>
    <col min="5" max="5" width="14" customWidth="1"/>
    <col min="6" max="6" width="18" customWidth="1"/>
    <col min="7" max="7" width="13" customWidth="1"/>
    <col min="8" max="8" width="15" customWidth="1"/>
    <col min="9" max="9" width="20" customWidth="1"/>
    <col min="10" max="10" width="22" customWidth="1"/>
    <col min="11" max="11" width="19" customWidth="1"/>
    <col min="12" max="12" width="23" customWidth="1"/>
    <col min="13" max="13" width="18" customWidth="1"/>
    <col min="14" max="14" width="20" customWidth="1"/>
    <col min="15" max="15" width="21" customWidth="1"/>
    <col min="16" max="16" width="16" customWidth="1"/>
    <col min="17" max="18" width="11" customWidth="1"/>
    <col min="19" max="19" width="17" customWidth="1"/>
    <col min="20" max="20" width="13" customWidth="1"/>
    <col min="21" max="21" width="17" customWidth="1"/>
    <col min="22" max="22" width="15" customWidth="1"/>
    <col min="23" max="23" width="22" customWidth="1"/>
    <col min="24" max="24" width="27" customWidth="1"/>
    <col min="25" max="25" width="28" customWidth="1"/>
    <col min="26" max="28" width="16" customWidth="1"/>
    <col min="29" max="29" width="14" customWidth="1"/>
    <col min="30" max="30" width="17" customWidth="1"/>
    <col min="31" max="31" width="26" customWidth="1"/>
    <col min="32" max="32" width="18" customWidth="1"/>
    <col min="33" max="33" width="24" customWidth="1"/>
  </cols>
  <sheetData>
    <row r="1" spans="1:33" ht="17.399999999999999">
      <c r="A1" s="10" t="s">
        <v>1462</v>
      </c>
    </row>
    <row r="2" spans="1:33">
      <c r="A2" s="11" t="s">
        <v>1463</v>
      </c>
    </row>
    <row r="4" spans="1:33">
      <c r="A4" s="12" t="s">
        <v>1464</v>
      </c>
      <c r="B4" s="12" t="s">
        <v>1465</v>
      </c>
      <c r="C4" s="12" t="s">
        <v>1466</v>
      </c>
      <c r="D4" s="12" t="s">
        <v>1467</v>
      </c>
      <c r="E4" s="12" t="s">
        <v>1468</v>
      </c>
      <c r="F4" s="12" t="s">
        <v>1469</v>
      </c>
      <c r="G4" s="12" t="s">
        <v>1470</v>
      </c>
      <c r="H4" s="12" t="s">
        <v>1471</v>
      </c>
      <c r="I4" s="12" t="s">
        <v>1472</v>
      </c>
      <c r="J4" s="13" t="s">
        <v>1473</v>
      </c>
      <c r="K4" s="13" t="s">
        <v>1474</v>
      </c>
      <c r="L4" s="13" t="s">
        <v>1475</v>
      </c>
      <c r="M4" s="13" t="s">
        <v>1476</v>
      </c>
      <c r="N4" s="13" t="s">
        <v>1477</v>
      </c>
      <c r="O4" s="13" t="s">
        <v>1478</v>
      </c>
      <c r="P4" s="12" t="s">
        <v>1479</v>
      </c>
      <c r="Q4" s="12" t="s">
        <v>1480</v>
      </c>
      <c r="R4" s="12" t="s">
        <v>1481</v>
      </c>
      <c r="S4" s="14" t="s">
        <v>1482</v>
      </c>
      <c r="T4" s="14" t="s">
        <v>1483</v>
      </c>
      <c r="U4" s="14" t="s">
        <v>1484</v>
      </c>
      <c r="V4" s="14" t="s">
        <v>1485</v>
      </c>
      <c r="W4" s="14" t="s">
        <v>1486</v>
      </c>
      <c r="X4" s="14" t="s">
        <v>1487</v>
      </c>
      <c r="Y4" s="14" t="s">
        <v>1488</v>
      </c>
      <c r="Z4" s="14" t="s">
        <v>1489</v>
      </c>
      <c r="AA4" s="14" t="s">
        <v>1490</v>
      </c>
      <c r="AB4" s="14" t="s">
        <v>1491</v>
      </c>
      <c r="AC4" s="15" t="s">
        <v>1492</v>
      </c>
      <c r="AD4" s="15" t="s">
        <v>1493</v>
      </c>
      <c r="AE4" s="14" t="s">
        <v>1494</v>
      </c>
      <c r="AF4" s="14" t="s">
        <v>1495</v>
      </c>
      <c r="AG4" s="15" t="s">
        <v>1496</v>
      </c>
    </row>
    <row r="5" spans="1:33">
      <c r="A5" s="16" t="s">
        <v>33</v>
      </c>
      <c r="B5" s="16" t="s">
        <v>1497</v>
      </c>
      <c r="C5" s="17">
        <v>38</v>
      </c>
      <c r="D5" s="17">
        <v>4940500</v>
      </c>
      <c r="E5" s="17">
        <v>3565000</v>
      </c>
      <c r="F5" s="17">
        <v>1970000</v>
      </c>
      <c r="G5" s="17">
        <v>0</v>
      </c>
      <c r="H5" s="17"/>
      <c r="I5" s="17">
        <f t="shared" ref="I5:I9" si="0">SUM(D5:H5)</f>
        <v>10475500</v>
      </c>
      <c r="J5" s="17">
        <f t="shared" ref="J5:J9" si="1">D5*0.2</f>
        <v>988100</v>
      </c>
      <c r="K5" s="17">
        <f t="shared" ref="K5:K9" si="2">E5*0.3</f>
        <v>1069500</v>
      </c>
      <c r="L5" s="17">
        <f t="shared" ref="L5:L9" si="3">F5*0.32</f>
        <v>630400</v>
      </c>
      <c r="M5" s="17">
        <f t="shared" ref="M5:M9" si="4">G5*0.6</f>
        <v>0</v>
      </c>
      <c r="N5" s="17">
        <f t="shared" ref="N5:N9" si="5">H5*0.3</f>
        <v>0</v>
      </c>
      <c r="O5" s="17">
        <f t="shared" ref="O5:O9" si="6">SUM(J5:N5)</f>
        <v>2688000</v>
      </c>
      <c r="P5" s="17">
        <f t="shared" ref="P5:P9" si="7">I5*0.3</f>
        <v>3142650</v>
      </c>
      <c r="Q5" s="17">
        <f t="shared" ref="Q5:Q9" si="8">O5-P5</f>
        <v>-454650</v>
      </c>
      <c r="R5" s="18">
        <f t="shared" ref="R5:R10" si="9">IF(I5=0,0,O5/I5*100)</f>
        <v>25.659873037086534</v>
      </c>
      <c r="S5" s="19">
        <v>0</v>
      </c>
      <c r="T5" s="19">
        <v>0</v>
      </c>
      <c r="U5" s="19">
        <v>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100000</v>
      </c>
      <c r="AB5" s="19">
        <f t="shared" ref="AB5:AB9" si="10">SUM(S5:AA5)</f>
        <v>100000</v>
      </c>
      <c r="AC5" s="17">
        <v>2312000</v>
      </c>
      <c r="AD5" s="17">
        <f>O5-AB5+AC5</f>
        <v>4900000</v>
      </c>
      <c r="AE5" s="19"/>
      <c r="AF5" s="19"/>
      <c r="AG5" s="17">
        <f t="shared" ref="AG5:AG9" si="11">AE5+AF5</f>
        <v>0</v>
      </c>
    </row>
    <row r="6" spans="1:33">
      <c r="A6" s="16" t="s">
        <v>49</v>
      </c>
      <c r="B6" s="16" t="s">
        <v>1497</v>
      </c>
      <c r="C6" s="17">
        <v>42</v>
      </c>
      <c r="D6" s="17">
        <v>4529900</v>
      </c>
      <c r="E6" s="17">
        <v>3453500</v>
      </c>
      <c r="F6" s="17">
        <v>400000</v>
      </c>
      <c r="G6" s="17">
        <v>0</v>
      </c>
      <c r="H6" s="17">
        <v>24000</v>
      </c>
      <c r="I6" s="17">
        <f t="shared" si="0"/>
        <v>8407400</v>
      </c>
      <c r="J6" s="17">
        <f t="shared" si="1"/>
        <v>905980</v>
      </c>
      <c r="K6" s="17">
        <f t="shared" si="2"/>
        <v>1036050</v>
      </c>
      <c r="L6" s="17">
        <f t="shared" si="3"/>
        <v>128000</v>
      </c>
      <c r="M6" s="17">
        <f t="shared" si="4"/>
        <v>0</v>
      </c>
      <c r="N6" s="17">
        <f t="shared" si="5"/>
        <v>7200</v>
      </c>
      <c r="O6" s="17">
        <f t="shared" si="6"/>
        <v>2077230</v>
      </c>
      <c r="P6" s="17">
        <f t="shared" si="7"/>
        <v>2522220</v>
      </c>
      <c r="Q6" s="17">
        <f t="shared" si="8"/>
        <v>-444990</v>
      </c>
      <c r="R6" s="18">
        <f t="shared" si="9"/>
        <v>24.707162737588316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f t="shared" si="10"/>
        <v>0</v>
      </c>
      <c r="AC6" s="17"/>
      <c r="AD6" s="17">
        <f t="shared" ref="AD6:AD9" si="12">O6-AB6+AC6</f>
        <v>2077230</v>
      </c>
      <c r="AE6" s="19"/>
      <c r="AF6" s="19"/>
      <c r="AG6" s="17">
        <f t="shared" si="11"/>
        <v>0</v>
      </c>
    </row>
    <row r="7" spans="1:33">
      <c r="A7" s="16" t="s">
        <v>86</v>
      </c>
      <c r="B7" s="16" t="s">
        <v>1497</v>
      </c>
      <c r="C7" s="17">
        <v>53</v>
      </c>
      <c r="D7" s="17">
        <v>3275000</v>
      </c>
      <c r="E7" s="17">
        <v>2113000</v>
      </c>
      <c r="F7" s="17">
        <v>510000</v>
      </c>
      <c r="G7" s="17">
        <v>0</v>
      </c>
      <c r="H7" s="17">
        <v>200000</v>
      </c>
      <c r="I7" s="17">
        <f t="shared" si="0"/>
        <v>6098000</v>
      </c>
      <c r="J7" s="17">
        <f t="shared" si="1"/>
        <v>655000</v>
      </c>
      <c r="K7" s="17">
        <f t="shared" si="2"/>
        <v>633900</v>
      </c>
      <c r="L7" s="17">
        <f t="shared" si="3"/>
        <v>163200</v>
      </c>
      <c r="M7" s="17">
        <f t="shared" si="4"/>
        <v>0</v>
      </c>
      <c r="N7" s="17">
        <f t="shared" si="5"/>
        <v>60000</v>
      </c>
      <c r="O7" s="17">
        <f t="shared" si="6"/>
        <v>1512100</v>
      </c>
      <c r="P7" s="17">
        <f t="shared" si="7"/>
        <v>1829400</v>
      </c>
      <c r="Q7" s="17">
        <f t="shared" si="8"/>
        <v>-317300</v>
      </c>
      <c r="R7" s="18">
        <f t="shared" si="9"/>
        <v>24.79665464086586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f t="shared" si="10"/>
        <v>0</v>
      </c>
      <c r="AC7" s="17"/>
      <c r="AD7" s="17">
        <f t="shared" si="12"/>
        <v>1512100</v>
      </c>
      <c r="AE7" s="19"/>
      <c r="AF7" s="19"/>
      <c r="AG7" s="17">
        <f t="shared" si="11"/>
        <v>0</v>
      </c>
    </row>
    <row r="8" spans="1:33">
      <c r="A8" s="16" t="s">
        <v>127</v>
      </c>
      <c r="B8" s="16" t="s">
        <v>1497</v>
      </c>
      <c r="C8" s="17">
        <v>37</v>
      </c>
      <c r="D8" s="17">
        <v>2972000</v>
      </c>
      <c r="E8" s="17">
        <v>456000</v>
      </c>
      <c r="F8" s="17"/>
      <c r="G8" s="17">
        <v>0</v>
      </c>
      <c r="H8" s="17"/>
      <c r="I8" s="17">
        <f t="shared" si="0"/>
        <v>3428000</v>
      </c>
      <c r="J8" s="17">
        <f t="shared" si="1"/>
        <v>594400</v>
      </c>
      <c r="K8" s="17">
        <f t="shared" si="2"/>
        <v>136800</v>
      </c>
      <c r="L8" s="17">
        <f t="shared" si="3"/>
        <v>0</v>
      </c>
      <c r="M8" s="17">
        <f t="shared" si="4"/>
        <v>0</v>
      </c>
      <c r="N8" s="17">
        <f t="shared" si="5"/>
        <v>0</v>
      </c>
      <c r="O8" s="17">
        <f t="shared" si="6"/>
        <v>731200</v>
      </c>
      <c r="P8" s="17">
        <f t="shared" si="7"/>
        <v>1028400</v>
      </c>
      <c r="Q8" s="17">
        <f t="shared" si="8"/>
        <v>-297200</v>
      </c>
      <c r="R8" s="18">
        <f t="shared" si="9"/>
        <v>21.330221703617269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f t="shared" si="10"/>
        <v>0</v>
      </c>
      <c r="AC8" s="17">
        <v>538031</v>
      </c>
      <c r="AD8" s="17">
        <f t="shared" si="12"/>
        <v>1269231</v>
      </c>
      <c r="AE8" s="19"/>
      <c r="AF8" s="19"/>
      <c r="AG8" s="17">
        <f t="shared" si="11"/>
        <v>0</v>
      </c>
    </row>
    <row r="9" spans="1:33">
      <c r="A9" s="16" t="s">
        <v>71</v>
      </c>
      <c r="B9" s="16" t="s">
        <v>1497</v>
      </c>
      <c r="C9" s="17">
        <v>17</v>
      </c>
      <c r="D9" s="17">
        <v>1701500</v>
      </c>
      <c r="E9" s="17">
        <v>340000</v>
      </c>
      <c r="F9" s="17"/>
      <c r="G9" s="17">
        <v>0</v>
      </c>
      <c r="H9" s="17">
        <v>50000</v>
      </c>
      <c r="I9" s="17">
        <f t="shared" si="0"/>
        <v>2091500</v>
      </c>
      <c r="J9" s="17">
        <f t="shared" si="1"/>
        <v>340300</v>
      </c>
      <c r="K9" s="17">
        <f t="shared" si="2"/>
        <v>102000</v>
      </c>
      <c r="L9" s="17">
        <f t="shared" si="3"/>
        <v>0</v>
      </c>
      <c r="M9" s="17">
        <f t="shared" si="4"/>
        <v>0</v>
      </c>
      <c r="N9" s="17">
        <f t="shared" si="5"/>
        <v>15000</v>
      </c>
      <c r="O9" s="17">
        <f t="shared" si="6"/>
        <v>457300</v>
      </c>
      <c r="P9" s="17">
        <f t="shared" si="7"/>
        <v>627450</v>
      </c>
      <c r="Q9" s="17">
        <f t="shared" si="8"/>
        <v>-170150</v>
      </c>
      <c r="R9" s="18">
        <f t="shared" si="9"/>
        <v>21.864690413578771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f t="shared" si="10"/>
        <v>0</v>
      </c>
      <c r="AC9" s="17">
        <v>426138</v>
      </c>
      <c r="AD9" s="17">
        <f t="shared" si="12"/>
        <v>883438</v>
      </c>
      <c r="AE9" s="19"/>
      <c r="AF9" s="19"/>
      <c r="AG9" s="17">
        <f t="shared" si="11"/>
        <v>0</v>
      </c>
    </row>
    <row r="10" spans="1:33">
      <c r="A10" s="20" t="s">
        <v>1498</v>
      </c>
      <c r="B10" s="20"/>
      <c r="C10" s="21">
        <f t="shared" ref="C10:Q10" si="13">SUM(C5:C9)</f>
        <v>187</v>
      </c>
      <c r="D10" s="21">
        <f t="shared" si="13"/>
        <v>17418900</v>
      </c>
      <c r="E10" s="21">
        <f t="shared" si="13"/>
        <v>9927500</v>
      </c>
      <c r="F10" s="21">
        <f t="shared" si="13"/>
        <v>2880000</v>
      </c>
      <c r="G10" s="21">
        <f t="shared" si="13"/>
        <v>0</v>
      </c>
      <c r="H10" s="21">
        <f t="shared" si="13"/>
        <v>274000</v>
      </c>
      <c r="I10" s="21">
        <f t="shared" si="13"/>
        <v>30500400</v>
      </c>
      <c r="J10" s="21">
        <f t="shared" si="13"/>
        <v>3483780</v>
      </c>
      <c r="K10" s="21">
        <f t="shared" si="13"/>
        <v>2978250</v>
      </c>
      <c r="L10" s="21">
        <f t="shared" si="13"/>
        <v>921600</v>
      </c>
      <c r="M10" s="21">
        <f t="shared" si="13"/>
        <v>0</v>
      </c>
      <c r="N10" s="21">
        <f t="shared" si="13"/>
        <v>82200</v>
      </c>
      <c r="O10" s="21">
        <f t="shared" si="13"/>
        <v>7465830</v>
      </c>
      <c r="P10" s="21">
        <f t="shared" si="13"/>
        <v>9150120</v>
      </c>
      <c r="Q10" s="21">
        <f t="shared" si="13"/>
        <v>-1684290</v>
      </c>
      <c r="R10" s="22">
        <f t="shared" si="9"/>
        <v>24.477810127080303</v>
      </c>
      <c r="S10" s="21">
        <f t="shared" ref="S10:AG10" si="14">SUM(S5:S9)</f>
        <v>0</v>
      </c>
      <c r="T10" s="21">
        <f t="shared" si="14"/>
        <v>0</v>
      </c>
      <c r="U10" s="21">
        <f t="shared" si="14"/>
        <v>0</v>
      </c>
      <c r="V10" s="21">
        <f t="shared" si="14"/>
        <v>0</v>
      </c>
      <c r="W10" s="21">
        <f t="shared" si="14"/>
        <v>0</v>
      </c>
      <c r="X10" s="21">
        <f t="shared" si="14"/>
        <v>0</v>
      </c>
      <c r="Y10" s="21">
        <f t="shared" si="14"/>
        <v>0</v>
      </c>
      <c r="Z10" s="21">
        <f t="shared" si="14"/>
        <v>0</v>
      </c>
      <c r="AA10" s="21">
        <f t="shared" si="14"/>
        <v>100000</v>
      </c>
      <c r="AB10" s="21">
        <f t="shared" si="14"/>
        <v>100000</v>
      </c>
      <c r="AC10" s="21">
        <f t="shared" si="14"/>
        <v>3276169</v>
      </c>
      <c r="AD10" s="21">
        <f t="shared" si="14"/>
        <v>10641999</v>
      </c>
      <c r="AE10" s="21">
        <f t="shared" si="14"/>
        <v>0</v>
      </c>
      <c r="AF10" s="21">
        <f t="shared" si="14"/>
        <v>0</v>
      </c>
      <c r="AG10" s="21">
        <f t="shared" si="14"/>
        <v>0</v>
      </c>
    </row>
  </sheetData>
  <autoFilter ref="A4:AG9" xr:uid="{00000000-0009-0000-0000-000002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H25"/>
  <sheetViews>
    <sheetView tabSelected="1" topLeftCell="Q1" zoomScale="40" zoomScaleNormal="40" workbookViewId="0">
      <selection activeCell="Z13" sqref="Z13"/>
    </sheetView>
  </sheetViews>
  <sheetFormatPr defaultRowHeight="14.4"/>
  <cols>
    <col min="1" max="1" width="1.44140625" customWidth="1"/>
    <col min="2" max="2" width="9" customWidth="1"/>
    <col min="3" max="3" width="26.88671875" customWidth="1"/>
    <col min="4" max="4" width="62.6640625" customWidth="1"/>
    <col min="5" max="5" width="45.33203125" customWidth="1"/>
    <col min="6" max="6" width="26.109375" customWidth="1"/>
    <col min="7" max="7" width="49.88671875" customWidth="1"/>
    <col min="8" max="8" width="47" customWidth="1"/>
    <col min="9" max="9" width="69.44140625" customWidth="1"/>
    <col min="10" max="10" width="87.33203125" customWidth="1"/>
    <col min="11" max="11" width="22.88671875" customWidth="1"/>
    <col min="12" max="12" width="83.6640625" customWidth="1"/>
    <col min="13" max="13" width="38.6640625" customWidth="1"/>
    <col min="14" max="14" width="36.5546875" customWidth="1"/>
    <col min="15" max="15" width="47.33203125" customWidth="1"/>
    <col min="16" max="25" width="42.5546875" customWidth="1"/>
    <col min="26" max="26" width="39.88671875" customWidth="1"/>
    <col min="27" max="27" width="70.5546875" customWidth="1"/>
    <col min="28" max="28" width="13.109375" customWidth="1"/>
  </cols>
  <sheetData>
    <row r="2" spans="2:34" ht="54.9" customHeight="1">
      <c r="B2" s="23" t="s">
        <v>1554</v>
      </c>
      <c r="C2" s="24"/>
      <c r="D2" s="24"/>
      <c r="E2" s="24"/>
      <c r="F2" s="24"/>
      <c r="G2" s="24"/>
      <c r="H2" s="24"/>
      <c r="I2" s="24"/>
      <c r="J2" s="24"/>
      <c r="K2" s="24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4"/>
      <c r="AB2" s="24"/>
      <c r="AC2" s="24"/>
      <c r="AD2" s="24"/>
      <c r="AE2" s="24"/>
      <c r="AF2" s="24"/>
      <c r="AG2" s="24"/>
      <c r="AH2" s="24"/>
    </row>
    <row r="3" spans="2:34" ht="54.9" customHeight="1">
      <c r="B3" s="23" t="s">
        <v>1499</v>
      </c>
      <c r="C3" s="24"/>
      <c r="D3" s="24"/>
      <c r="E3" s="24"/>
      <c r="F3" s="24"/>
      <c r="G3" s="24"/>
      <c r="H3" s="24"/>
      <c r="I3" s="24"/>
      <c r="J3" s="24"/>
      <c r="K3" s="24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4"/>
      <c r="AB3" s="24"/>
      <c r="AC3" s="24"/>
      <c r="AD3" s="24"/>
      <c r="AE3" s="24"/>
      <c r="AF3" s="24"/>
      <c r="AG3" s="24"/>
      <c r="AH3" s="24"/>
    </row>
    <row r="4" spans="2:34" ht="54.9" customHeight="1">
      <c r="B4" s="23" t="s">
        <v>1500</v>
      </c>
      <c r="C4" s="24"/>
      <c r="D4" s="26" t="s">
        <v>1501</v>
      </c>
      <c r="E4" s="24"/>
      <c r="F4" s="24"/>
      <c r="G4" s="24"/>
      <c r="H4" s="24"/>
      <c r="I4" s="24"/>
      <c r="J4" s="24"/>
      <c r="K4" s="24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4"/>
      <c r="AB4" s="24"/>
      <c r="AC4" s="24"/>
      <c r="AD4" s="24"/>
      <c r="AE4" s="24"/>
      <c r="AF4" s="24"/>
      <c r="AG4" s="24"/>
      <c r="AH4" s="24"/>
    </row>
    <row r="5" spans="2:34" ht="60" customHeight="1">
      <c r="C5" s="27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 spans="2:34" ht="17.100000000000001" customHeight="1">
      <c r="C6" s="29"/>
      <c r="D6" s="29"/>
      <c r="F6" s="29"/>
      <c r="G6" s="29"/>
      <c r="I6" s="29"/>
      <c r="J6" s="29"/>
      <c r="L6" s="29"/>
      <c r="M6" s="29"/>
      <c r="O6" s="29"/>
      <c r="P6" s="29"/>
      <c r="R6" s="29"/>
      <c r="S6" s="29"/>
      <c r="U6" s="29"/>
      <c r="W6" s="29"/>
      <c r="Y6" s="29"/>
      <c r="AA6" s="29"/>
    </row>
    <row r="7" spans="2:34" ht="152.1" customHeight="1">
      <c r="B7" s="30" t="s">
        <v>1502</v>
      </c>
      <c r="C7" s="31" t="s">
        <v>1503</v>
      </c>
      <c r="D7" s="30" t="s">
        <v>1504</v>
      </c>
      <c r="E7" s="30" t="s">
        <v>1505</v>
      </c>
      <c r="F7" s="30" t="s">
        <v>1506</v>
      </c>
      <c r="G7" s="30" t="s">
        <v>1507</v>
      </c>
      <c r="H7" s="31" t="s">
        <v>1508</v>
      </c>
      <c r="I7" s="30" t="s">
        <v>1509</v>
      </c>
      <c r="J7" s="30" t="s">
        <v>1510</v>
      </c>
      <c r="K7" s="30" t="s">
        <v>1511</v>
      </c>
      <c r="L7" s="30" t="s">
        <v>1512</v>
      </c>
      <c r="M7" s="32" t="s">
        <v>1513</v>
      </c>
      <c r="N7" s="32" t="s">
        <v>1514</v>
      </c>
      <c r="O7" s="32" t="s">
        <v>1515</v>
      </c>
      <c r="P7" s="33" t="s">
        <v>1482</v>
      </c>
      <c r="Q7" s="33" t="s">
        <v>1483</v>
      </c>
      <c r="R7" s="33" t="s">
        <v>1484</v>
      </c>
      <c r="S7" s="33" t="s">
        <v>1485</v>
      </c>
      <c r="T7" s="33" t="s">
        <v>1486</v>
      </c>
      <c r="U7" s="33" t="s">
        <v>1487</v>
      </c>
      <c r="V7" s="33" t="s">
        <v>1488</v>
      </c>
      <c r="W7" s="33" t="s">
        <v>1489</v>
      </c>
      <c r="X7" s="33" t="s">
        <v>1490</v>
      </c>
      <c r="Y7" s="33" t="s">
        <v>1491</v>
      </c>
      <c r="Z7" s="34" t="s">
        <v>1516</v>
      </c>
      <c r="AA7" s="35" t="s">
        <v>1517</v>
      </c>
    </row>
    <row r="8" spans="2:34" ht="60" customHeight="1">
      <c r="B8" s="36">
        <v>1</v>
      </c>
      <c r="C8" s="37"/>
      <c r="D8" s="38" t="str">
        <f>RAW!A5</f>
        <v>IKANG TAUFIK</v>
      </c>
      <c r="E8" s="38" t="s">
        <v>1518</v>
      </c>
      <c r="F8" s="39" t="str">
        <f>RAW!B5</f>
        <v>CIBUBUR</v>
      </c>
      <c r="G8" s="40" t="s">
        <v>1519</v>
      </c>
      <c r="H8" s="39">
        <v>7368152751</v>
      </c>
      <c r="I8" s="41"/>
      <c r="J8" s="39" t="str">
        <f t="shared" ref="J8:J11" si="0">CONCATENATE($G$7,G8,$H$7,H8,$I$7,I8)</f>
        <v xml:space="preserve">Bank BSI No. Rek. 7368152751 A/n </v>
      </c>
      <c r="K8" s="39" t="s">
        <v>1520</v>
      </c>
      <c r="L8" s="42">
        <f>RAW!I5</f>
        <v>10475500</v>
      </c>
      <c r="M8" s="42">
        <f>RAW!O5</f>
        <v>2688000</v>
      </c>
      <c r="N8" s="43">
        <f>RAW!AC5</f>
        <v>2312000</v>
      </c>
      <c r="O8" s="43">
        <f t="shared" ref="O8:O12" si="1">SUM(M8:N8)</f>
        <v>5000000</v>
      </c>
      <c r="P8" s="43">
        <f>RAW!S5</f>
        <v>0</v>
      </c>
      <c r="Q8" s="43">
        <f>RAW!T5</f>
        <v>0</v>
      </c>
      <c r="R8" s="43">
        <f>RAW!U5</f>
        <v>0</v>
      </c>
      <c r="S8" s="43">
        <f>RAW!V5</f>
        <v>0</v>
      </c>
      <c r="T8" s="43">
        <f>RAW!W5</f>
        <v>0</v>
      </c>
      <c r="U8" s="43">
        <f>RAW!X5</f>
        <v>0</v>
      </c>
      <c r="V8" s="43">
        <f>RAW!Y5</f>
        <v>0</v>
      </c>
      <c r="W8" s="43">
        <f>RAW!Z5</f>
        <v>0</v>
      </c>
      <c r="X8" s="43">
        <f>RAW!AA5</f>
        <v>100000</v>
      </c>
      <c r="Y8" s="43">
        <f>RAW!AB5</f>
        <v>100000</v>
      </c>
      <c r="Z8" s="43">
        <f t="shared" ref="Z8:Z12" si="2">O8-Y8</f>
        <v>4900000</v>
      </c>
      <c r="AA8" s="44" t="str">
        <f t="shared" ref="AA8:AA12" si="3">_xlfn.TEXTJOIN(" | ",TRUE,IF(V8&gt;0,"Biaya Pendaftaran Koperasi: "&amp;TEXT(V8,"#.##0"),""),IF(W8&gt;0,"Simpanan Pokok: "&amp;TEXT(W8,"#.##0"),""),IF(X8&gt;0,"Simpanan Wajib: "&amp;TEXT(X8,"#.##0"),""))</f>
        <v>Simpanan Wajib: 100.000</v>
      </c>
    </row>
    <row r="9" spans="2:34" ht="60" customHeight="1">
      <c r="B9" s="36">
        <v>2</v>
      </c>
      <c r="C9" s="37"/>
      <c r="D9" s="38" t="str">
        <f>RAW!A6</f>
        <v>YUFI NOFERIANTO</v>
      </c>
      <c r="E9" s="38" t="s">
        <v>1518</v>
      </c>
      <c r="F9" s="39" t="str">
        <f>RAW!B6</f>
        <v>CIBUBUR</v>
      </c>
      <c r="G9" s="40" t="s">
        <v>1519</v>
      </c>
      <c r="H9" s="39">
        <v>7330237591</v>
      </c>
      <c r="I9" s="41" t="s">
        <v>1555</v>
      </c>
      <c r="J9" s="39" t="s">
        <v>1556</v>
      </c>
      <c r="K9" s="39" t="s">
        <v>1520</v>
      </c>
      <c r="L9" s="42">
        <f>RAW!I6</f>
        <v>8407400</v>
      </c>
      <c r="M9" s="42">
        <f>RAW!O6</f>
        <v>2077230</v>
      </c>
      <c r="N9" s="43">
        <f>RAW!AC6</f>
        <v>0</v>
      </c>
      <c r="O9" s="43">
        <f t="shared" si="1"/>
        <v>2077230</v>
      </c>
      <c r="P9" s="43">
        <f>RAW!S6</f>
        <v>0</v>
      </c>
      <c r="Q9" s="43">
        <f>RAW!T6</f>
        <v>0</v>
      </c>
      <c r="R9" s="43">
        <f>RAW!U6</f>
        <v>0</v>
      </c>
      <c r="S9" s="43">
        <f>RAW!V6</f>
        <v>0</v>
      </c>
      <c r="T9" s="43">
        <f>RAW!W6</f>
        <v>0</v>
      </c>
      <c r="U9" s="43">
        <f>RAW!X6</f>
        <v>0</v>
      </c>
      <c r="V9" s="43">
        <f>RAW!Y6</f>
        <v>0</v>
      </c>
      <c r="W9" s="43">
        <f>RAW!Z6</f>
        <v>0</v>
      </c>
      <c r="X9" s="43">
        <f>RAW!AA6</f>
        <v>0</v>
      </c>
      <c r="Y9" s="43">
        <f>RAW!AB6</f>
        <v>0</v>
      </c>
      <c r="Z9" s="43">
        <f t="shared" si="2"/>
        <v>2077230</v>
      </c>
      <c r="AA9" s="44" t="str">
        <f t="shared" si="3"/>
        <v/>
      </c>
    </row>
    <row r="10" spans="2:34" ht="60" customHeight="1">
      <c r="B10" s="36">
        <v>3</v>
      </c>
      <c r="C10" s="37"/>
      <c r="D10" s="38" t="str">
        <f>RAW!A7</f>
        <v>MUHAMMAD IBNU SIDDIQ</v>
      </c>
      <c r="E10" s="38" t="s">
        <v>1518</v>
      </c>
      <c r="F10" s="39" t="str">
        <f>RAW!B7</f>
        <v>CIBUBUR</v>
      </c>
      <c r="G10" s="40" t="s">
        <v>1519</v>
      </c>
      <c r="H10" s="39">
        <v>7340549378</v>
      </c>
      <c r="I10" s="41" t="s">
        <v>86</v>
      </c>
      <c r="J10" s="39" t="s">
        <v>1559</v>
      </c>
      <c r="K10" s="39" t="s">
        <v>1520</v>
      </c>
      <c r="L10" s="42">
        <f>RAW!I7</f>
        <v>6098000</v>
      </c>
      <c r="M10" s="42">
        <f>RAW!O7</f>
        <v>1512100</v>
      </c>
      <c r="N10" s="43">
        <f>RAW!AC7</f>
        <v>0</v>
      </c>
      <c r="O10" s="43">
        <f t="shared" si="1"/>
        <v>1512100</v>
      </c>
      <c r="P10" s="43">
        <f>RAW!S7</f>
        <v>0</v>
      </c>
      <c r="Q10" s="43">
        <f>RAW!T7</f>
        <v>0</v>
      </c>
      <c r="R10" s="43">
        <f>RAW!U7</f>
        <v>0</v>
      </c>
      <c r="S10" s="43">
        <f>RAW!V7</f>
        <v>0</v>
      </c>
      <c r="T10" s="43">
        <f>RAW!W7</f>
        <v>0</v>
      </c>
      <c r="U10" s="43">
        <f>RAW!X7</f>
        <v>0</v>
      </c>
      <c r="V10" s="43">
        <f>RAW!Y7</f>
        <v>0</v>
      </c>
      <c r="W10" s="43">
        <f>RAW!Z7</f>
        <v>0</v>
      </c>
      <c r="X10" s="43">
        <f>RAW!AA7</f>
        <v>0</v>
      </c>
      <c r="Y10" s="43">
        <f>RAW!AB7</f>
        <v>0</v>
      </c>
      <c r="Z10" s="43">
        <f t="shared" si="2"/>
        <v>1512100</v>
      </c>
      <c r="AA10" s="44" t="str">
        <f t="shared" si="3"/>
        <v/>
      </c>
    </row>
    <row r="11" spans="2:34" ht="60" customHeight="1">
      <c r="B11" s="36">
        <v>4</v>
      </c>
      <c r="C11" s="37"/>
      <c r="D11" s="38" t="str">
        <f>RAW!A8</f>
        <v>FARID HASHBI SIDDIQ</v>
      </c>
      <c r="E11" s="38" t="s">
        <v>1518</v>
      </c>
      <c r="F11" s="39" t="str">
        <f>RAW!B8</f>
        <v>CIBUBUR</v>
      </c>
      <c r="G11" s="40" t="s">
        <v>1519</v>
      </c>
      <c r="H11" s="39"/>
      <c r="I11" s="41"/>
      <c r="J11" s="39" t="str">
        <f t="shared" si="0"/>
        <v xml:space="preserve">Bank BSI No. Rek.  A/n </v>
      </c>
      <c r="K11" s="39" t="s">
        <v>1520</v>
      </c>
      <c r="L11" s="42">
        <f>RAW!I8</f>
        <v>3428000</v>
      </c>
      <c r="M11" s="42">
        <f>RAW!O8</f>
        <v>731200</v>
      </c>
      <c r="N11" s="43">
        <f>RAW!AC8</f>
        <v>538031</v>
      </c>
      <c r="O11" s="43">
        <f t="shared" si="1"/>
        <v>1269231</v>
      </c>
      <c r="P11" s="43">
        <f>RAW!S8</f>
        <v>0</v>
      </c>
      <c r="Q11" s="43">
        <f>RAW!T8</f>
        <v>0</v>
      </c>
      <c r="R11" s="43">
        <f>RAW!U8</f>
        <v>0</v>
      </c>
      <c r="S11" s="43">
        <f>RAW!V8</f>
        <v>0</v>
      </c>
      <c r="T11" s="43">
        <f>RAW!W8</f>
        <v>0</v>
      </c>
      <c r="U11" s="43">
        <f>RAW!X8</f>
        <v>0</v>
      </c>
      <c r="V11" s="43">
        <f>RAW!Y8</f>
        <v>0</v>
      </c>
      <c r="W11" s="43">
        <f>RAW!Z8</f>
        <v>0</v>
      </c>
      <c r="X11" s="43">
        <f>RAW!AA8</f>
        <v>0</v>
      </c>
      <c r="Y11" s="43">
        <f>RAW!AB8</f>
        <v>0</v>
      </c>
      <c r="Z11" s="43">
        <f t="shared" si="2"/>
        <v>1269231</v>
      </c>
      <c r="AA11" s="44" t="str">
        <f t="shared" si="3"/>
        <v/>
      </c>
    </row>
    <row r="12" spans="2:34" ht="60" customHeight="1">
      <c r="B12" s="36">
        <v>5</v>
      </c>
      <c r="C12" s="37"/>
      <c r="D12" s="38" t="str">
        <f>RAW!A9</f>
        <v>EGI SETYA RAMADANI</v>
      </c>
      <c r="E12" s="38" t="s">
        <v>1518</v>
      </c>
      <c r="F12" s="39" t="str">
        <f>RAW!B9</f>
        <v>CIBUBUR</v>
      </c>
      <c r="G12" s="40" t="s">
        <v>1519</v>
      </c>
      <c r="H12" s="39">
        <v>7355932456</v>
      </c>
      <c r="I12" s="38" t="s">
        <v>1557</v>
      </c>
      <c r="J12" s="39" t="s">
        <v>1558</v>
      </c>
      <c r="K12" s="39" t="s">
        <v>1520</v>
      </c>
      <c r="L12" s="42">
        <f>RAW!I9</f>
        <v>2091500</v>
      </c>
      <c r="M12" s="42">
        <f>RAW!O9</f>
        <v>457300</v>
      </c>
      <c r="N12" s="43">
        <f>RAW!AC9</f>
        <v>426138</v>
      </c>
      <c r="O12" s="43">
        <f t="shared" si="1"/>
        <v>883438</v>
      </c>
      <c r="P12" s="43">
        <f>RAW!S9</f>
        <v>0</v>
      </c>
      <c r="Q12" s="43">
        <f>RAW!T9</f>
        <v>0</v>
      </c>
      <c r="R12" s="43">
        <f>RAW!U9</f>
        <v>0</v>
      </c>
      <c r="S12" s="43">
        <f>RAW!V9</f>
        <v>0</v>
      </c>
      <c r="T12" s="43">
        <f>RAW!W9</f>
        <v>0</v>
      </c>
      <c r="U12" s="43">
        <f>RAW!X9</f>
        <v>0</v>
      </c>
      <c r="V12" s="43">
        <f>RAW!Y9</f>
        <v>0</v>
      </c>
      <c r="W12" s="43">
        <f>RAW!Z9</f>
        <v>0</v>
      </c>
      <c r="X12" s="43">
        <f>RAW!AA9</f>
        <v>0</v>
      </c>
      <c r="Y12" s="43">
        <f>RAW!AB9</f>
        <v>0</v>
      </c>
      <c r="Z12" s="43">
        <f t="shared" si="2"/>
        <v>883438</v>
      </c>
      <c r="AA12" s="44" t="str">
        <f t="shared" si="3"/>
        <v/>
      </c>
    </row>
    <row r="13" spans="2:34" ht="69" customHeight="1">
      <c r="B13" s="87" t="s">
        <v>1498</v>
      </c>
      <c r="C13" s="88"/>
      <c r="D13" s="88"/>
      <c r="E13" s="88"/>
      <c r="F13" s="88"/>
      <c r="G13" s="88"/>
      <c r="H13" s="88"/>
      <c r="I13" s="88"/>
      <c r="J13" s="88"/>
      <c r="K13" s="89"/>
      <c r="L13" s="45">
        <f>SUM(L8:L12)</f>
        <v>30500400</v>
      </c>
      <c r="M13" s="45">
        <f t="shared" ref="M13:N13" si="4">SUM(M8:M12)</f>
        <v>7465830</v>
      </c>
      <c r="N13" s="45">
        <f t="shared" si="4"/>
        <v>3276169</v>
      </c>
      <c r="O13" s="45">
        <f>SUM(O8:O12)</f>
        <v>10741999</v>
      </c>
      <c r="P13" s="45">
        <f t="shared" ref="P13:Y13" si="5">SUM(P8:P12)</f>
        <v>0</v>
      </c>
      <c r="Q13" s="45">
        <f t="shared" si="5"/>
        <v>0</v>
      </c>
      <c r="R13" s="45">
        <f t="shared" si="5"/>
        <v>0</v>
      </c>
      <c r="S13" s="45">
        <f t="shared" si="5"/>
        <v>0</v>
      </c>
      <c r="T13" s="45">
        <f t="shared" si="5"/>
        <v>0</v>
      </c>
      <c r="U13" s="45">
        <f t="shared" si="5"/>
        <v>0</v>
      </c>
      <c r="V13" s="45">
        <f t="shared" si="5"/>
        <v>0</v>
      </c>
      <c r="W13" s="45">
        <f t="shared" si="5"/>
        <v>0</v>
      </c>
      <c r="X13" s="45">
        <f t="shared" si="5"/>
        <v>100000</v>
      </c>
      <c r="Y13" s="45">
        <f t="shared" si="5"/>
        <v>100000</v>
      </c>
      <c r="Z13" s="45">
        <f>SUM(Z8:Z12)</f>
        <v>10641999</v>
      </c>
      <c r="AA13" s="46"/>
    </row>
    <row r="14" spans="2:34" ht="26.1" customHeight="1">
      <c r="B14" s="28"/>
      <c r="C14" s="27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47"/>
    </row>
    <row r="16" spans="2:34" ht="33" customHeight="1">
      <c r="O16" s="48" t="s">
        <v>1521</v>
      </c>
      <c r="P16" s="49">
        <f ca="1">TODAY()</f>
        <v>46265</v>
      </c>
      <c r="Q16" s="49"/>
      <c r="R16" s="49"/>
      <c r="S16" s="49"/>
      <c r="T16" s="49"/>
      <c r="U16" s="49"/>
      <c r="V16" s="49"/>
      <c r="W16" s="49"/>
      <c r="X16" s="49"/>
      <c r="Z16" s="50"/>
    </row>
    <row r="17" spans="3:34" ht="57.9" customHeight="1">
      <c r="C17" s="51"/>
      <c r="D17" s="52" t="s">
        <v>1522</v>
      </c>
      <c r="F17" s="52"/>
      <c r="G17" s="52"/>
      <c r="H17" s="52"/>
      <c r="I17" s="52"/>
      <c r="J17" s="52"/>
      <c r="L17" s="52"/>
      <c r="M17" s="52"/>
      <c r="O17" s="52" t="s">
        <v>1523</v>
      </c>
      <c r="S17" s="52" t="s">
        <v>1523</v>
      </c>
      <c r="T17" s="52"/>
      <c r="U17" s="52"/>
      <c r="V17" s="52"/>
      <c r="W17" s="52"/>
      <c r="X17" s="52"/>
      <c r="Y17" s="52" t="s">
        <v>1523</v>
      </c>
      <c r="Z17" s="53"/>
      <c r="AA17" s="54"/>
      <c r="AC17" s="52"/>
      <c r="AD17" s="52"/>
      <c r="AE17" s="54"/>
      <c r="AF17" s="54"/>
    </row>
    <row r="18" spans="3:34" ht="33" customHeight="1">
      <c r="C18" s="51"/>
      <c r="D18" s="52"/>
      <c r="F18" s="52"/>
      <c r="G18" s="52"/>
      <c r="H18" s="52"/>
      <c r="I18" s="52"/>
      <c r="J18" s="52"/>
      <c r="L18" s="52"/>
      <c r="M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3"/>
      <c r="AA18" s="54"/>
      <c r="AB18" s="52"/>
      <c r="AC18" s="52"/>
      <c r="AD18" s="52"/>
      <c r="AE18" s="54"/>
      <c r="AF18" s="54"/>
    </row>
    <row r="19" spans="3:34" ht="33" customHeight="1">
      <c r="C19" s="51"/>
      <c r="D19" s="55"/>
      <c r="Z19" s="56"/>
      <c r="AA19" s="54"/>
      <c r="AE19" s="54"/>
      <c r="AF19" s="54"/>
    </row>
    <row r="20" spans="3:34" ht="33" customHeight="1">
      <c r="C20" s="51"/>
      <c r="D20" s="55"/>
      <c r="P20" s="57"/>
      <c r="Q20" s="57"/>
      <c r="R20" s="57"/>
      <c r="Z20" s="58"/>
      <c r="AA20" s="54"/>
      <c r="AE20" s="54"/>
      <c r="AF20" s="54"/>
    </row>
    <row r="21" spans="3:34" ht="33" customHeight="1">
      <c r="C21" s="51"/>
      <c r="D21" s="55"/>
      <c r="AA21" s="54"/>
      <c r="AE21" s="54"/>
      <c r="AF21" s="54"/>
    </row>
    <row r="22" spans="3:34" ht="33" customHeight="1">
      <c r="C22" s="51"/>
      <c r="D22" s="52"/>
      <c r="Z22" s="58"/>
    </row>
    <row r="23" spans="3:34" ht="33" customHeight="1">
      <c r="C23" s="51"/>
      <c r="D23" s="52"/>
      <c r="Z23" s="58"/>
    </row>
    <row r="24" spans="3:34" ht="33" customHeight="1">
      <c r="C24" s="51"/>
      <c r="D24" s="52" t="s">
        <v>1524</v>
      </c>
      <c r="L24" s="52"/>
      <c r="M24" s="52"/>
      <c r="O24" s="52" t="s">
        <v>1525</v>
      </c>
      <c r="P24" s="52"/>
      <c r="Q24" s="52"/>
      <c r="R24" s="52"/>
      <c r="S24" s="52" t="s">
        <v>1526</v>
      </c>
      <c r="T24" s="52"/>
      <c r="U24" s="52"/>
      <c r="V24" s="52"/>
      <c r="W24" s="52"/>
      <c r="X24" s="52"/>
      <c r="Y24" s="52" t="s">
        <v>1527</v>
      </c>
      <c r="Z24" s="52"/>
      <c r="AB24" s="52"/>
      <c r="AC24" s="52"/>
      <c r="AD24" s="52"/>
      <c r="AH24" s="52"/>
    </row>
    <row r="25" spans="3:34" ht="33" customHeight="1">
      <c r="C25" s="51"/>
      <c r="D25" s="52" t="s">
        <v>1528</v>
      </c>
      <c r="L25" s="52"/>
      <c r="M25" s="52"/>
      <c r="O25" s="52" t="s">
        <v>1529</v>
      </c>
      <c r="P25" s="52"/>
      <c r="Q25" s="52"/>
      <c r="R25" s="52"/>
      <c r="S25" s="52" t="s">
        <v>1530</v>
      </c>
      <c r="T25" s="52"/>
      <c r="U25" s="52"/>
      <c r="V25" s="52"/>
      <c r="W25" s="52"/>
      <c r="X25" s="52"/>
      <c r="Y25" s="52" t="s">
        <v>1531</v>
      </c>
      <c r="Z25" s="53"/>
      <c r="AB25" s="52"/>
      <c r="AC25" s="52"/>
      <c r="AD25" s="52"/>
      <c r="AH25" s="52"/>
    </row>
  </sheetData>
  <mergeCells count="1">
    <mergeCell ref="B13:K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Potongan Teknisi MF</vt:lpstr>
      <vt:lpstr>Rincian Faktur Penjualan</vt:lpstr>
      <vt:lpstr>Pivot</vt:lpstr>
      <vt:lpstr>RAW</vt:lpstr>
      <vt:lpstr>final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Galih Permana</cp:lastModifiedBy>
  <dcterms:created xsi:type="dcterms:W3CDTF">2026-08-27T11:59:50Z</dcterms:created>
  <dcterms:modified xsi:type="dcterms:W3CDTF">2026-08-31T07:39:24Z</dcterms:modified>
</cp:coreProperties>
</file>